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Cash Flow" sheetId="4" state="visible" r:id="rId6"/>
    <sheet name="DCF Outpu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<sst xmlns="http://schemas.openxmlformats.org/spreadsheetml/2006/main" count="170" uniqueCount="155">
  <si>
    <t xml:space="preserve">SHOPIFY INC. (SHOP.TO)</t>
  </si>
  <si>
    <t xml:space="preserve">Discounted Cash Flow Valuation Model</t>
  </si>
  <si>
    <t xml:space="preserve">────────────────────────────────────────────────────────────</t>
  </si>
  <si>
    <t xml:space="preserve">Prepared by:</t>
  </si>
  <si>
    <t xml:space="preserve">Aayush  |  TMU Economics</t>
  </si>
  <si>
    <t xml:space="preserve">Date:</t>
  </si>
  <si>
    <t xml:space="preserve">June 2026</t>
  </si>
  <si>
    <t xml:space="preserve">Currency:</t>
  </si>
  <si>
    <t xml:space="preserve">USD (millions) unless noted</t>
  </si>
  <si>
    <t xml:space="preserve">Data Source:</t>
  </si>
  <si>
    <t xml:space="preserve">Shopify 2022–2024 Annual Reports / Investor Relations</t>
  </si>
  <si>
    <t xml:space="preserve">Methodology:</t>
  </si>
  <si>
    <t xml:space="preserve">5-Year DCF with WACC Sensitivity Analysis</t>
  </si>
  <si>
    <t xml:space="preserve">DISCLAIMER: This model is built for educational and portfolio purposes only. It does not constitute investment advice. Financial data sourced from public filings. All projections are the author's own estimates and assumptions.</t>
  </si>
  <si>
    <t xml:space="preserve">MODEL NAVIGATION</t>
  </si>
  <si>
    <t xml:space="preserve">  Assumptions</t>
  </si>
  <si>
    <t xml:space="preserve">All model inputs — revenue growth, margins, WACC, terminal growth rate</t>
  </si>
  <si>
    <t xml:space="preserve">  Income Statement</t>
  </si>
  <si>
    <t xml:space="preserve">Historical (2022–2024) and projected (2025–2029) P&amp;L</t>
  </si>
  <si>
    <t xml:space="preserve">  Cash Flow</t>
  </si>
  <si>
    <t xml:space="preserve">Free cash flow build from net income</t>
  </si>
  <si>
    <t xml:space="preserve">  DCF Output</t>
  </si>
  <si>
    <t xml:space="preserve">Enterprise value, equity value, implied share price, sensitivity tables</t>
  </si>
  <si>
    <t xml:space="preserve">COLOR CODING</t>
  </si>
  <si>
    <t xml:space="preserve">  Blue text</t>
  </si>
  <si>
    <t xml:space="preserve">Hardcoded inputs — numbers you can change</t>
  </si>
  <si>
    <t xml:space="preserve">  Black text</t>
  </si>
  <si>
    <t xml:space="preserve">Formulas and calculations — do not edit</t>
  </si>
  <si>
    <t xml:space="preserve">  Green text</t>
  </si>
  <si>
    <t xml:space="preserve">Links pulling from another tab</t>
  </si>
  <si>
    <t xml:space="preserve">Built as part of self-directed finance training — FMVA (CFI) + AVFM (Valuation School)</t>
  </si>
  <si>
    <t xml:space="preserve">ASSUMPTIONS — SHOPIFY INC. DCF MODEL</t>
  </si>
  <si>
    <t xml:space="preserve">REVENUE GROWTH ASSUMPTIONS</t>
  </si>
  <si>
    <t xml:space="preserve">2025E Revenue Growth</t>
  </si>
  <si>
    <t xml:space="preserve">consensus est.</t>
  </si>
  <si>
    <t xml:space="preserve">2026E Revenue Growth</t>
  </si>
  <si>
    <t xml:space="preserve">slight decel from '25</t>
  </si>
  <si>
    <t xml:space="preserve">2027E Revenue Growth</t>
  </si>
  <si>
    <t xml:space="preserve">GMV growth maturing</t>
  </si>
  <si>
    <t xml:space="preserve">2028E Revenue Growth</t>
  </si>
  <si>
    <t xml:space="preserve">approaching steady state</t>
  </si>
  <si>
    <t xml:space="preserve">2029E Revenue Growth</t>
  </si>
  <si>
    <t xml:space="preserve">10-K p.47</t>
  </si>
  <si>
    <t xml:space="preserve">MARGIN ASSUMPTIONS</t>
  </si>
  <si>
    <t xml:space="preserve">Gross Margin %</t>
  </si>
  <si>
    <t xml:space="preserve">FY24 actual ~50%</t>
  </si>
  <si>
    <t xml:space="preserve">R&amp;D % of Revenue</t>
  </si>
  <si>
    <t xml:space="preserve">slight decline w/ scale</t>
  </si>
  <si>
    <t xml:space="preserve">S&amp;M % of Revenue</t>
  </si>
  <si>
    <t xml:space="preserve">G&amp;A % of Revenue</t>
  </si>
  <si>
    <t xml:space="preserve">incl. stock comp</t>
  </si>
  <si>
    <t xml:space="preserve">D&amp;A % of Revenue</t>
  </si>
  <si>
    <t xml:space="preserve">asset-light</t>
  </si>
  <si>
    <t xml:space="preserve">Capex % of Revenue</t>
  </si>
  <si>
    <t xml:space="preserve">low capex intensity</t>
  </si>
  <si>
    <t xml:space="preserve">Tax Rate</t>
  </si>
  <si>
    <t xml:space="preserve">Cdn statutory</t>
  </si>
  <si>
    <t xml:space="preserve">Change in NWC % of Rev</t>
  </si>
  <si>
    <t xml:space="preserve">WACC ASSUMPTIONS</t>
  </si>
  <si>
    <t xml:space="preserve">Risk-Free Rate</t>
  </si>
  <si>
    <t xml:space="preserve">Cdn 10yr ~3.5%</t>
  </si>
  <si>
    <t xml:space="preserve">Equity Risk Premium</t>
  </si>
  <si>
    <t xml:space="preserve">Damodaran Jan-26</t>
  </si>
  <si>
    <t xml:space="preserve">Beta</t>
  </si>
  <si>
    <t xml:space="preserve">5yr monthly vs TSX</t>
  </si>
  <si>
    <t xml:space="preserve">Cost of Equity</t>
  </si>
  <si>
    <t xml:space="preserve">CAPM</t>
  </si>
  <si>
    <t xml:space="preserve">Pre-Tax Cost of Debt</t>
  </si>
  <si>
    <t xml:space="preserve">credit facility</t>
  </si>
  <si>
    <t xml:space="preserve">Debt Weight (D/V)</t>
  </si>
  <si>
    <t xml:space="preserve">Equity Weight (E/V)</t>
  </si>
  <si>
    <t xml:space="preserve">mkt cap dominant</t>
  </si>
  <si>
    <t xml:space="preserve">WACC</t>
  </si>
  <si>
    <t xml:space="preserve">double-check beta vs. Bloomberg before finalizing</t>
  </si>
  <si>
    <t xml:space="preserve">TERMINAL VALUE ASSUMPTIONS</t>
  </si>
  <si>
    <t xml:space="preserve">Terminal Growth Rate (g)</t>
  </si>
  <si>
    <t xml:space="preserve">long-run nom. GDP</t>
  </si>
  <si>
    <t xml:space="preserve">Terminal Year FCF Margin</t>
  </si>
  <si>
    <t xml:space="preserve">mature SaaS benchmark</t>
  </si>
  <si>
    <t xml:space="preserve">SHARE DATA &amp; BALANCE SHEET ITEMS</t>
  </si>
  <si>
    <t xml:space="preserve">Diluted Shares Outstanding (mm)</t>
  </si>
  <si>
    <t xml:space="preserve">diluted, FY24 10-K</t>
  </si>
  <si>
    <t xml:space="preserve">Total Debt ($mm)</t>
  </si>
  <si>
    <t xml:space="preserve">minimal debt</t>
  </si>
  <si>
    <t xml:space="preserve">Cash &amp; Equivalents ($mm)</t>
  </si>
  <si>
    <t xml:space="preserve">per BS</t>
  </si>
  <si>
    <t xml:space="preserve">Net Debt ($mm)</t>
  </si>
  <si>
    <t xml:space="preserve">Debt minus Cash</t>
  </si>
  <si>
    <t xml:space="preserve">INCOME STATEMENT — SHOPIFY INC. ($USD millions)</t>
  </si>
  <si>
    <t xml:space="preserve">2022A</t>
  </si>
  <si>
    <t xml:space="preserve">2023A</t>
  </si>
  <si>
    <t xml:space="preserve">2024A</t>
  </si>
  <si>
    <t xml:space="preserve">2025E</t>
  </si>
  <si>
    <t xml:space="preserve">2026E</t>
  </si>
  <si>
    <t xml:space="preserve">2027E</t>
  </si>
  <si>
    <t xml:space="preserve">2028E</t>
  </si>
  <si>
    <t xml:space="preserve">2029E</t>
  </si>
  <si>
    <t xml:space="preserve">REVENUE</t>
  </si>
  <si>
    <t xml:space="preserve">Source: Shopify IR / 10-K</t>
  </si>
  <si>
    <t xml:space="preserve">Total Revenue</t>
  </si>
  <si>
    <t xml:space="preserve">  Revenue Growth %</t>
  </si>
  <si>
    <t xml:space="preserve">-</t>
  </si>
  <si>
    <t xml:space="preserve">GROSS PROFIT</t>
  </si>
  <si>
    <t xml:space="preserve">  Cost of Revenue</t>
  </si>
  <si>
    <t xml:space="preserve">Gross Profit</t>
  </si>
  <si>
    <t xml:space="preserve">  Gross Margin %</t>
  </si>
  <si>
    <t xml:space="preserve">OPERATING EXPENSES</t>
  </si>
  <si>
    <t xml:space="preserve">  Research &amp; Development</t>
  </si>
  <si>
    <t xml:space="preserve">  Sales &amp; Marketing</t>
  </si>
  <si>
    <t xml:space="preserve">  General &amp; Administrative</t>
  </si>
  <si>
    <t xml:space="preserve">Total Operating Expenses</t>
  </si>
  <si>
    <t xml:space="preserve">OPERATING INCOME (EBIT)</t>
  </si>
  <si>
    <t xml:space="preserve">EBIT</t>
  </si>
  <si>
    <t xml:space="preserve">  EBIT Margin %</t>
  </si>
  <si>
    <t xml:space="preserve">D&amp;A AND EBITDA</t>
  </si>
  <si>
    <t xml:space="preserve">  D&amp;A</t>
  </si>
  <si>
    <t xml:space="preserve">EBITDA</t>
  </si>
  <si>
    <t xml:space="preserve">  EBITDA Margin %</t>
  </si>
  <si>
    <t xml:space="preserve">NET INCOME</t>
  </si>
  <si>
    <t xml:space="preserve">  Taxes</t>
  </si>
  <si>
    <t xml:space="preserve">Net Income</t>
  </si>
  <si>
    <t xml:space="preserve">  Net Margin %</t>
  </si>
  <si>
    <t xml:space="preserve">Note: 2022-2024 actuals per Shopify 10-K filings. Projections are author estimates.</t>
  </si>
  <si>
    <t xml:space="preserve">FREE CASH FLOW BRIDGE — SHOPIFY INC. ($USD millions)</t>
  </si>
  <si>
    <t xml:space="preserve">CASH FROM OPERATIONS</t>
  </si>
  <si>
    <t xml:space="preserve">  + D&amp;A (non-cash)</t>
  </si>
  <si>
    <t xml:space="preserve">  - Change in NWC</t>
  </si>
  <si>
    <t xml:space="preserve">Cash from Operations</t>
  </si>
  <si>
    <t xml:space="preserve">CAPITAL EXPENDITURES</t>
  </si>
  <si>
    <t xml:space="preserve">  Capex</t>
  </si>
  <si>
    <t xml:space="preserve">FREE CASH FLOW</t>
  </si>
  <si>
    <t xml:space="preserve">Free Cash Flow (FCF)</t>
  </si>
  <si>
    <t xml:space="preserve">  FCF Margin %</t>
  </si>
  <si>
    <t xml:space="preserve">NWC drag increases with revenue growth — typical for high-growth SaaS</t>
  </si>
  <si>
    <t xml:space="preserve">DCF VALUATION OUTPUT — SHOPIFY INC.</t>
  </si>
  <si>
    <t xml:space="preserve">Projection Period</t>
  </si>
  <si>
    <t xml:space="preserve">DISCOUNTED CASH FLOW ANALYSIS</t>
  </si>
  <si>
    <t xml:space="preserve">Free Cash Flow ($mm)</t>
  </si>
  <si>
    <t xml:space="preserve">  Discount Period</t>
  </si>
  <si>
    <t xml:space="preserve">  Discount Factor</t>
  </si>
  <si>
    <t xml:space="preserve">  PV of FCF ($mm)</t>
  </si>
  <si>
    <t xml:space="preserve">sanity check: TV should be ~65-75% of EV for high-growth co.</t>
  </si>
  <si>
    <t xml:space="preserve">ENTERPRISE VALUE BRIDGE</t>
  </si>
  <si>
    <t xml:space="preserve">Sum of PV of FCFs ($mm)</t>
  </si>
  <si>
    <t xml:space="preserve">Terminal Value ($mm)</t>
  </si>
  <si>
    <t xml:space="preserve">PV of Terminal Value ($mm)</t>
  </si>
  <si>
    <t xml:space="preserve">Enterprise Value ($mm)</t>
  </si>
  <si>
    <t xml:space="preserve">Less: Net Debt ($mm)</t>
  </si>
  <si>
    <t xml:space="preserve">Equity Value ($mm)</t>
  </si>
  <si>
    <t xml:space="preserve">Implied Share Price (USD)</t>
  </si>
  <si>
    <t xml:space="preserve">TV as % of EV:</t>
  </si>
  <si>
    <t xml:space="preserve">← high = model sensitive to terminal assumptions</t>
  </si>
  <si>
    <t xml:space="preserve">SENSITIVITY ANALYSIS — IMPLIED SHARE PRICE (USD)</t>
  </si>
  <si>
    <t xml:space="preserve">WACC \ Terminal Growth Rate</t>
  </si>
  <si>
    <t xml:space="preserve">Note: Yellow cell = base case (WACC 10.0%, g 3.0%). All values in USD per share.</t>
  </si>
</sst>
</file>

<file path=xl/styles.xml><?xml version="1.0" encoding="utf-8"?>
<styleSheet xmlns="http://schemas.openxmlformats.org/spreadsheetml/2006/main">
  <numFmts count="6">
    <numFmt numFmtId="164" formatCode="General"/>
    <numFmt numFmtId="165" formatCode="0.0%;\(0.0%\);;"/>
    <numFmt numFmtId="166" formatCode="#,##0;\(#,##0\);;"/>
    <numFmt numFmtId="167" formatCode="0"/>
    <numFmt numFmtId="168" formatCode="0.0000"/>
    <numFmt numFmtId="169" formatCode="\$#,##0.00"/>
  </numFmts>
  <fonts count="27">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4"/>
      <color rgb="FFD6E4F7"/>
      <name val="Arial"/>
      <family val="0"/>
      <charset val="1"/>
    </font>
    <font>
      <sz val="8"/>
      <color rgb="FFB8CCE4"/>
      <name val="Arial"/>
      <family val="0"/>
      <charset val="1"/>
    </font>
    <font>
      <b val="true"/>
      <sz val="10"/>
      <color rgb="FFD6E4F7"/>
      <name val="Arial"/>
      <family val="0"/>
      <charset val="1"/>
    </font>
    <font>
      <sz val="10"/>
      <color rgb="FFFFFFFF"/>
      <name val="Arial"/>
      <family val="0"/>
      <charset val="1"/>
    </font>
    <font>
      <i val="true"/>
      <sz val="9"/>
      <color rgb="FF7F7F7F"/>
      <name val="Arial"/>
      <family val="0"/>
      <charset val="1"/>
    </font>
    <font>
      <b val="true"/>
      <sz val="11"/>
      <color rgb="FF1F3864"/>
      <name val="Arial"/>
      <family val="0"/>
      <charset val="1"/>
    </font>
    <font>
      <b val="true"/>
      <sz val="10"/>
      <color rgb="FF2E75B6"/>
      <name val="Arial"/>
      <family val="0"/>
      <charset val="1"/>
    </font>
    <font>
      <sz val="10"/>
      <color rgb="FF000000"/>
      <name val="Arial"/>
      <family val="0"/>
      <charset val="1"/>
    </font>
    <font>
      <b val="true"/>
      <sz val="10"/>
      <color rgb="FF0070C0"/>
      <name val="Arial"/>
      <family val="0"/>
      <charset val="1"/>
    </font>
    <font>
      <b val="true"/>
      <sz val="10"/>
      <color rgb="FF000000"/>
      <name val="Arial"/>
      <family val="0"/>
      <charset val="1"/>
    </font>
    <font>
      <b val="true"/>
      <sz val="10"/>
      <color rgb="FF00B050"/>
      <name val="Arial"/>
      <family val="0"/>
      <charset val="1"/>
    </font>
    <font>
      <b val="true"/>
      <sz val="12"/>
      <color rgb="FFFFFFFF"/>
      <name val="Arial"/>
      <family val="0"/>
      <charset val="1"/>
    </font>
    <font>
      <b val="true"/>
      <sz val="10"/>
      <color rgb="FFFFFFFF"/>
      <name val="Arial"/>
      <family val="0"/>
      <charset val="1"/>
    </font>
    <font>
      <sz val="10"/>
      <color rgb="FF0070C0"/>
      <name val="Arial"/>
      <family val="0"/>
      <charset val="1"/>
    </font>
    <font>
      <i val="true"/>
      <sz val="9"/>
      <color rgb="FF7F7F7F"/>
      <name val="Calibri"/>
      <family val="0"/>
      <charset val="1"/>
    </font>
    <font>
      <i val="true"/>
      <sz val="8"/>
      <color rgb="FFFF0000"/>
      <name val="Arial"/>
      <family val="0"/>
      <charset val="1"/>
    </font>
    <font>
      <i val="true"/>
      <sz val="8"/>
      <color rgb="FF7F7F7F"/>
      <name val="Arial"/>
      <family val="0"/>
      <charset val="1"/>
    </font>
    <font>
      <i val="true"/>
      <sz val="10"/>
      <color rgb="FF000000"/>
      <name val="Arial"/>
      <family val="0"/>
      <charset val="1"/>
    </font>
    <font>
      <b val="true"/>
      <sz val="10"/>
      <color rgb="FF1F3864"/>
      <name val="Arial"/>
      <family val="0"/>
      <charset val="1"/>
    </font>
    <font>
      <b val="true"/>
      <sz val="9"/>
      <color rgb="FFFFFFFF"/>
      <name val="Arial"/>
      <family val="0"/>
      <charset val="1"/>
    </font>
    <font>
      <sz val="9"/>
      <name val="Arial"/>
      <family val="0"/>
      <charset val="1"/>
    </font>
    <font>
      <b val="true"/>
      <sz val="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F5F5F5"/>
      </patternFill>
    </fill>
    <fill>
      <patternFill patternType="solid">
        <fgColor rgb="FFFFFFFF"/>
        <bgColor rgb="FFF5F5F5"/>
      </patternFill>
    </fill>
    <fill>
      <patternFill patternType="solid">
        <fgColor rgb="FFD6E4F7"/>
        <bgColor rgb="FFF2F2F2"/>
      </patternFill>
    </fill>
    <fill>
      <patternFill patternType="solid">
        <fgColor rgb="FFF5F5F5"/>
        <bgColor rgb="FFF2F2F2"/>
      </patternFill>
    </fill>
    <fill>
      <patternFill patternType="solid">
        <fgColor rgb="FFB8CCE4"/>
        <bgColor rgb="FFC0C0C0"/>
      </patternFill>
    </fill>
    <fill>
      <patternFill patternType="solid">
        <fgColor rgb="FF2E75B6"/>
        <bgColor rgb="FF007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1"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1"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5" fontId="14" fillId="0" borderId="0" xfId="0" applyFont="true" applyBorder="false" applyAlignment="true" applyProtection="false">
      <alignment horizontal="center" vertical="center" textRotation="0" wrapText="false" indent="0" shrinkToFit="false"/>
      <protection locked="true" hidden="false"/>
    </xf>
    <xf numFmtId="165" fontId="14" fillId="5"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6" fontId="14" fillId="0" borderId="0" xfId="0" applyFont="tru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6" fontId="18" fillId="6"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2"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5" fontId="12" fillId="6"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2"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6" fontId="14" fillId="5" borderId="0" xfId="0" applyFont="true" applyBorder="false" applyAlignment="true" applyProtection="false">
      <alignment horizontal="center" vertical="center" textRotation="0" wrapText="false" indent="0" shrinkToFit="false"/>
      <protection locked="true" hidden="false"/>
    </xf>
    <xf numFmtId="166" fontId="14" fillId="6"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6" fontId="15" fillId="6" borderId="0" xfId="0" applyFont="true" applyBorder="false" applyAlignment="true" applyProtection="false">
      <alignment horizontal="center" vertical="center" textRotation="0" wrapText="false" indent="0" shrinkToFit="false"/>
      <protection locked="true" hidden="false"/>
    </xf>
    <xf numFmtId="166" fontId="15" fillId="0" borderId="0" xfId="0" applyFont="true" applyBorder="false" applyAlignment="true" applyProtection="false">
      <alignment horizontal="center" vertical="center" textRotation="0" wrapText="false" indent="0" shrinkToFit="false"/>
      <protection locked="true" hidden="false"/>
    </xf>
    <xf numFmtId="166" fontId="12" fillId="6" borderId="0" xfId="0" applyFont="true" applyBorder="false" applyAlignment="true" applyProtection="false">
      <alignment horizontal="center"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6" fontId="23" fillId="5" borderId="0" xfId="0" applyFont="true" applyBorder="true" applyAlignment="true" applyProtection="false">
      <alignment horizontal="center" vertical="center" textRotation="0" wrapText="false" indent="0" shrinkToFit="false"/>
      <protection locked="true" hidden="false"/>
    </xf>
    <xf numFmtId="166" fontId="23" fillId="5" borderId="0" xfId="0" applyFont="true" applyBorder="false" applyAlignment="true" applyProtection="false">
      <alignment horizontal="center" vertical="center" textRotation="0" wrapText="false" indent="0" shrinkToFit="false"/>
      <protection locked="true" hidden="false"/>
    </xf>
    <xf numFmtId="166" fontId="23" fillId="7" borderId="0" xfId="0" applyFont="true" applyBorder="false" applyAlignment="true" applyProtection="false">
      <alignment horizontal="center" vertical="center" textRotation="0" wrapText="false" indent="0" shrinkToFit="false"/>
      <protection locked="true" hidden="false"/>
    </xf>
    <xf numFmtId="169" fontId="23" fillId="5"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24" fillId="2" borderId="0" xfId="0" applyFont="true" applyBorder="false" applyAlignment="true" applyProtection="false">
      <alignment horizontal="center" vertical="center" textRotation="0" wrapText="false" indent="0" shrinkToFit="false"/>
      <protection locked="true" hidden="false"/>
    </xf>
    <xf numFmtId="165" fontId="24" fillId="8" borderId="0" xfId="0" applyFont="true" applyBorder="false" applyAlignment="true" applyProtection="false">
      <alignment horizontal="center" vertical="center" textRotation="0" wrapText="false" indent="0" shrinkToFit="false"/>
      <protection locked="true" hidden="false"/>
    </xf>
    <xf numFmtId="169" fontId="25" fillId="0" borderId="0" xfId="0" applyFont="true" applyBorder="false" applyAlignment="true" applyProtection="false">
      <alignment horizontal="center" vertical="center" textRotation="0" wrapText="false" indent="0" shrinkToFit="false"/>
      <protection locked="true" hidden="false"/>
    </xf>
    <xf numFmtId="169" fontId="26"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5F5F5"/>
      <rgbColor rgb="FFD6E4F7"/>
      <rgbColor rgb="FF660066"/>
      <rgbColor rgb="FFFF8080"/>
      <rgbColor rgb="FF0070C0"/>
      <rgbColor rgb="FFB8CCE4"/>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ED7D31"/>
      <rgbColor rgb="FF66669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52"/>
    <col collapsed="false" customWidth="true" hidden="false" outlineLevel="0" max="3" min="3" style="1" width="27.3"/>
  </cols>
  <sheetData>
    <row r="1" customFormat="false" ht="13.5" hidden="false" customHeight="true" outlineLevel="0" collapsed="false"/>
    <row r="2" customFormat="false" ht="21.75" hidden="false" customHeight="true" outlineLevel="0" collapsed="false"/>
    <row r="3" customFormat="false" ht="30" hidden="false" customHeight="true" outlineLevel="0" collapsed="false">
      <c r="A3" s="2"/>
      <c r="B3" s="2"/>
      <c r="C3" s="2"/>
      <c r="D3" s="2"/>
      <c r="E3" s="2"/>
      <c r="F3" s="2"/>
      <c r="G3" s="2"/>
      <c r="H3" s="2"/>
      <c r="I3" s="2"/>
    </row>
    <row r="4" customFormat="false" ht="31.5" hidden="false" customHeight="true" outlineLevel="0" collapsed="false">
      <c r="A4" s="2"/>
      <c r="B4" s="3" t="s">
        <v>0</v>
      </c>
      <c r="C4" s="3"/>
      <c r="D4" s="3"/>
      <c r="E4" s="3"/>
      <c r="F4" s="3"/>
      <c r="G4" s="3"/>
      <c r="H4" s="3"/>
      <c r="I4" s="2"/>
    </row>
    <row r="5" customFormat="false" ht="25.5" hidden="false" customHeight="true" outlineLevel="0" collapsed="false">
      <c r="A5" s="2"/>
      <c r="B5" s="4" t="s">
        <v>1</v>
      </c>
      <c r="C5" s="4"/>
      <c r="D5" s="4"/>
      <c r="E5" s="4"/>
      <c r="F5" s="4"/>
      <c r="G5" s="4"/>
      <c r="H5" s="4"/>
      <c r="I5" s="2"/>
    </row>
    <row r="6" customFormat="false" ht="19.5" hidden="false" customHeight="true" outlineLevel="0" collapsed="false">
      <c r="A6" s="2"/>
      <c r="B6" s="2"/>
      <c r="C6" s="2"/>
      <c r="D6" s="2"/>
      <c r="E6" s="2"/>
      <c r="F6" s="2"/>
      <c r="G6" s="2"/>
      <c r="H6" s="2"/>
      <c r="I6" s="2"/>
    </row>
    <row r="7" customFormat="false" ht="12" hidden="false" customHeight="true" outlineLevel="0" collapsed="false">
      <c r="A7" s="2"/>
      <c r="B7" s="5" t="s">
        <v>2</v>
      </c>
      <c r="C7" s="5"/>
      <c r="D7" s="5"/>
      <c r="E7" s="5"/>
      <c r="F7" s="5"/>
      <c r="G7" s="5"/>
      <c r="H7" s="5"/>
      <c r="I7" s="2"/>
    </row>
    <row r="8" customFormat="false" ht="16.5" hidden="false" customHeight="true" outlineLevel="0" collapsed="false">
      <c r="A8" s="2"/>
      <c r="B8" s="6" t="s">
        <v>3</v>
      </c>
      <c r="C8" s="7" t="s">
        <v>4</v>
      </c>
      <c r="D8" s="2"/>
      <c r="E8" s="2"/>
      <c r="F8" s="2"/>
      <c r="G8" s="2"/>
      <c r="H8" s="2"/>
      <c r="I8" s="2"/>
    </row>
    <row r="9" customFormat="false" ht="16.5" hidden="false" customHeight="true" outlineLevel="0" collapsed="false">
      <c r="A9" s="2"/>
      <c r="B9" s="6" t="s">
        <v>5</v>
      </c>
      <c r="C9" s="7" t="s">
        <v>6</v>
      </c>
      <c r="D9" s="2"/>
      <c r="E9" s="2"/>
      <c r="F9" s="2"/>
      <c r="G9" s="2"/>
      <c r="H9" s="2"/>
      <c r="I9" s="2"/>
    </row>
    <row r="10" customFormat="false" ht="16.5" hidden="false" customHeight="true" outlineLevel="0" collapsed="false">
      <c r="A10" s="2"/>
      <c r="B10" s="6" t="s">
        <v>7</v>
      </c>
      <c r="C10" s="7" t="s">
        <v>8</v>
      </c>
      <c r="D10" s="2"/>
      <c r="E10" s="2"/>
      <c r="F10" s="2"/>
      <c r="G10" s="2"/>
      <c r="H10" s="2"/>
      <c r="I10" s="2"/>
    </row>
    <row r="11" customFormat="false" ht="16.5" hidden="false" customHeight="true" outlineLevel="0" collapsed="false">
      <c r="A11" s="2"/>
      <c r="B11" s="6" t="s">
        <v>9</v>
      </c>
      <c r="C11" s="7" t="s">
        <v>10</v>
      </c>
      <c r="D11" s="2"/>
      <c r="E11" s="2"/>
      <c r="F11" s="2"/>
      <c r="G11" s="2"/>
      <c r="H11" s="2"/>
      <c r="I11" s="2"/>
    </row>
    <row r="12" customFormat="false" ht="16.5" hidden="false" customHeight="true" outlineLevel="0" collapsed="false">
      <c r="A12" s="2"/>
      <c r="B12" s="6" t="s">
        <v>11</v>
      </c>
      <c r="C12" s="7" t="s">
        <v>12</v>
      </c>
      <c r="D12" s="2"/>
      <c r="E12" s="2"/>
      <c r="F12" s="2"/>
      <c r="G12" s="2"/>
      <c r="H12" s="2"/>
      <c r="I12" s="2"/>
    </row>
    <row r="13" customFormat="false" ht="9.75" hidden="false" customHeight="true" outlineLevel="0" collapsed="false"/>
    <row r="14" customFormat="false" ht="42" hidden="false" customHeight="true" outlineLevel="0" collapsed="false">
      <c r="B14" s="8" t="s">
        <v>13</v>
      </c>
      <c r="C14" s="8"/>
      <c r="D14" s="8"/>
      <c r="E14" s="8"/>
      <c r="F14" s="8"/>
      <c r="G14" s="8"/>
      <c r="H14" s="8"/>
    </row>
    <row r="15" customFormat="false" ht="18" hidden="false" customHeight="true" outlineLevel="0" collapsed="false">
      <c r="B15" s="8"/>
      <c r="C15" s="8"/>
      <c r="D15" s="8"/>
      <c r="E15" s="8"/>
      <c r="F15" s="8"/>
      <c r="G15" s="8"/>
      <c r="H15" s="8"/>
    </row>
    <row r="16" customFormat="false" ht="18" hidden="false" customHeight="true" outlineLevel="0" collapsed="false">
      <c r="B16" s="8"/>
      <c r="C16" s="8"/>
      <c r="D16" s="8"/>
      <c r="E16" s="8"/>
      <c r="F16" s="8"/>
      <c r="G16" s="8"/>
      <c r="H16" s="8"/>
    </row>
    <row r="17" customFormat="false" ht="9.75" hidden="false" customHeight="true" outlineLevel="0" collapsed="false"/>
    <row r="18" customFormat="false" ht="19.5" hidden="false" customHeight="true" outlineLevel="0" collapsed="false">
      <c r="B18" s="9" t="s">
        <v>14</v>
      </c>
    </row>
    <row r="19" customFormat="false" ht="15.75" hidden="false" customHeight="true" outlineLevel="0" collapsed="false">
      <c r="B19" s="10" t="s">
        <v>15</v>
      </c>
      <c r="C19" s="11" t="s">
        <v>16</v>
      </c>
    </row>
    <row r="20" customFormat="false" ht="15.75" hidden="false" customHeight="true" outlineLevel="0" collapsed="false">
      <c r="B20" s="12" t="s">
        <v>17</v>
      </c>
      <c r="C20" s="13" t="s">
        <v>18</v>
      </c>
    </row>
    <row r="21" customFormat="false" ht="15.75" hidden="false" customHeight="true" outlineLevel="0" collapsed="false">
      <c r="B21" s="10" t="s">
        <v>19</v>
      </c>
      <c r="C21" s="11" t="s">
        <v>20</v>
      </c>
    </row>
    <row r="22" customFormat="false" ht="15.75" hidden="false" customHeight="true" outlineLevel="0" collapsed="false">
      <c r="B22" s="12" t="s">
        <v>21</v>
      </c>
      <c r="C22" s="13" t="s">
        <v>22</v>
      </c>
    </row>
    <row r="23" customFormat="false" ht="9.75" hidden="false" customHeight="true" outlineLevel="0" collapsed="false"/>
    <row r="24" customFormat="false" ht="19.5" hidden="false" customHeight="true" outlineLevel="0" collapsed="false">
      <c r="B24" s="9" t="s">
        <v>23</v>
      </c>
    </row>
    <row r="25" customFormat="false" ht="15.75" hidden="false" customHeight="true" outlineLevel="0" collapsed="false">
      <c r="B25" s="14" t="s">
        <v>24</v>
      </c>
      <c r="C25" s="15" t="s">
        <v>25</v>
      </c>
    </row>
    <row r="26" customFormat="false" ht="15.75" hidden="false" customHeight="true" outlineLevel="0" collapsed="false">
      <c r="B26" s="16" t="s">
        <v>26</v>
      </c>
      <c r="C26" s="15" t="s">
        <v>27</v>
      </c>
    </row>
    <row r="27" customFormat="false" ht="15.75" hidden="false" customHeight="true" outlineLevel="0" collapsed="false">
      <c r="B27" s="17" t="s">
        <v>28</v>
      </c>
      <c r="C27" s="15" t="s">
        <v>29</v>
      </c>
    </row>
    <row r="28" customFormat="false" ht="7.5" hidden="false" customHeight="true" outlineLevel="0" collapsed="false"/>
    <row r="29" customFormat="false" ht="7.5" hidden="false" customHeight="true" outlineLevel="0" collapsed="false"/>
    <row r="30" customFormat="false" ht="19.5" hidden="false" customHeight="true" outlineLevel="0" collapsed="false">
      <c r="B30" s="18" t="s">
        <v>30</v>
      </c>
      <c r="C30" s="18"/>
      <c r="D30" s="18"/>
      <c r="E30" s="18"/>
      <c r="F30" s="18"/>
      <c r="G30" s="18"/>
      <c r="H30" s="18"/>
    </row>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sheetData>
  <mergeCells count="5">
    <mergeCell ref="B4:H4"/>
    <mergeCell ref="B5:H5"/>
    <mergeCell ref="B7:H7"/>
    <mergeCell ref="B14:H16"/>
    <mergeCell ref="B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51"/>
    <col collapsed="false" customWidth="true" hidden="false" outlineLevel="0" max="2" min="2" style="1" width="17"/>
    <col collapsed="false" customWidth="true" hidden="false" outlineLevel="0" max="3" min="3" style="1" width="23.8"/>
  </cols>
  <sheetData>
    <row r="1" customFormat="false" ht="27.75" hidden="false" customHeight="true" outlineLevel="0" collapsed="false">
      <c r="A1" s="19" t="s">
        <v>31</v>
      </c>
      <c r="B1" s="19"/>
      <c r="C1" s="19"/>
    </row>
    <row r="3" customFormat="false" ht="13.5" hidden="false" customHeight="true" outlineLevel="0" collapsed="false">
      <c r="A3" s="20" t="s">
        <v>32</v>
      </c>
      <c r="B3" s="21"/>
      <c r="C3" s="21"/>
    </row>
    <row r="4" customFormat="false" ht="15.75" hidden="false" customHeight="true" outlineLevel="0" collapsed="false">
      <c r="A4" s="22" t="s">
        <v>33</v>
      </c>
      <c r="B4" s="23" t="n">
        <v>0.27</v>
      </c>
      <c r="C4" s="24" t="s">
        <v>34</v>
      </c>
    </row>
    <row r="5" customFormat="false" ht="15" hidden="false" customHeight="true" outlineLevel="0" collapsed="false">
      <c r="A5" s="22" t="s">
        <v>35</v>
      </c>
      <c r="B5" s="23" t="n">
        <v>0.24</v>
      </c>
      <c r="C5" s="24" t="s">
        <v>36</v>
      </c>
    </row>
    <row r="6" customFormat="false" ht="15.75" hidden="false" customHeight="true" outlineLevel="0" collapsed="false">
      <c r="A6" s="22" t="s">
        <v>37</v>
      </c>
      <c r="B6" s="23" t="n">
        <v>0.21</v>
      </c>
      <c r="C6" s="24" t="s">
        <v>38</v>
      </c>
    </row>
    <row r="7" customFormat="false" ht="15" hidden="false" customHeight="true" outlineLevel="0" collapsed="false">
      <c r="A7" s="22" t="s">
        <v>39</v>
      </c>
      <c r="B7" s="23" t="n">
        <v>0.18</v>
      </c>
      <c r="C7" s="24" t="s">
        <v>40</v>
      </c>
    </row>
    <row r="8" customFormat="false" ht="15.75" hidden="false" customHeight="true" outlineLevel="0" collapsed="false">
      <c r="A8" s="22" t="s">
        <v>41</v>
      </c>
      <c r="B8" s="23" t="n">
        <v>0.15</v>
      </c>
      <c r="C8" s="24"/>
    </row>
    <row r="9" customFormat="false" ht="13.5" hidden="false" customHeight="true" outlineLevel="0" collapsed="false">
      <c r="C9" s="24" t="s">
        <v>42</v>
      </c>
    </row>
    <row r="10" customFormat="false" ht="13.5" hidden="false" customHeight="true" outlineLevel="0" collapsed="false">
      <c r="A10" s="20" t="s">
        <v>43</v>
      </c>
      <c r="B10" s="21"/>
      <c r="C10" s="25"/>
    </row>
    <row r="11" customFormat="false" ht="15.75" hidden="false" customHeight="true" outlineLevel="0" collapsed="false">
      <c r="A11" s="22" t="s">
        <v>44</v>
      </c>
      <c r="B11" s="23" t="n">
        <v>0.54</v>
      </c>
      <c r="C11" s="24" t="s">
        <v>45</v>
      </c>
    </row>
    <row r="12" customFormat="false" ht="15" hidden="false" customHeight="true" outlineLevel="0" collapsed="false">
      <c r="A12" s="22" t="s">
        <v>46</v>
      </c>
      <c r="B12" s="23" t="n">
        <v>0.12</v>
      </c>
      <c r="C12" s="26" t="s">
        <v>47</v>
      </c>
    </row>
    <row r="13" customFormat="false" ht="15.75" hidden="false" customHeight="true" outlineLevel="0" collapsed="false">
      <c r="A13" s="22" t="s">
        <v>48</v>
      </c>
      <c r="B13" s="23" t="n">
        <v>0.08</v>
      </c>
      <c r="C13" s="24"/>
    </row>
    <row r="14" customFormat="false" ht="15" hidden="false" customHeight="true" outlineLevel="0" collapsed="false">
      <c r="A14" s="22" t="s">
        <v>49</v>
      </c>
      <c r="B14" s="23" t="n">
        <v>0.055</v>
      </c>
      <c r="C14" s="24" t="s">
        <v>50</v>
      </c>
    </row>
    <row r="15" customFormat="false" ht="15.75" hidden="false" customHeight="true" outlineLevel="0" collapsed="false">
      <c r="A15" s="22" t="s">
        <v>51</v>
      </c>
      <c r="B15" s="23" t="n">
        <v>0.04</v>
      </c>
      <c r="C15" s="24" t="s">
        <v>52</v>
      </c>
    </row>
    <row r="16" customFormat="false" ht="15" hidden="false" customHeight="true" outlineLevel="0" collapsed="false">
      <c r="A16" s="22" t="s">
        <v>53</v>
      </c>
      <c r="B16" s="23" t="n">
        <v>0.02</v>
      </c>
      <c r="C16" s="24" t="s">
        <v>54</v>
      </c>
    </row>
    <row r="17" customFormat="false" ht="15.75" hidden="false" customHeight="true" outlineLevel="0" collapsed="false">
      <c r="A17" s="22" t="s">
        <v>55</v>
      </c>
      <c r="B17" s="23" t="n">
        <v>0.15</v>
      </c>
      <c r="C17" s="26" t="s">
        <v>56</v>
      </c>
    </row>
    <row r="18" customFormat="false" ht="15" hidden="false" customHeight="true" outlineLevel="0" collapsed="false">
      <c r="A18" s="22" t="s">
        <v>57</v>
      </c>
      <c r="B18" s="23" t="n">
        <v>0.01</v>
      </c>
      <c r="C18" s="24"/>
    </row>
    <row r="20" customFormat="false" ht="13.5" hidden="false" customHeight="true" outlineLevel="0" collapsed="false">
      <c r="A20" s="20" t="s">
        <v>58</v>
      </c>
      <c r="B20" s="21"/>
      <c r="C20" s="21"/>
    </row>
    <row r="21" customFormat="false" ht="15.75" hidden="false" customHeight="true" outlineLevel="0" collapsed="false">
      <c r="A21" s="22" t="s">
        <v>59</v>
      </c>
      <c r="B21" s="23" t="n">
        <v>0.035</v>
      </c>
      <c r="C21" s="24" t="s">
        <v>60</v>
      </c>
    </row>
    <row r="22" customFormat="false" ht="15" hidden="false" customHeight="true" outlineLevel="0" collapsed="false">
      <c r="A22" s="22" t="s">
        <v>61</v>
      </c>
      <c r="B22" s="23" t="n">
        <v>0.055</v>
      </c>
      <c r="C22" s="24" t="s">
        <v>62</v>
      </c>
    </row>
    <row r="23" customFormat="false" ht="15" hidden="false" customHeight="true" outlineLevel="0" collapsed="false">
      <c r="A23" s="22" t="s">
        <v>63</v>
      </c>
      <c r="B23" s="23" t="n">
        <v>0.95</v>
      </c>
      <c r="C23" s="24" t="s">
        <v>64</v>
      </c>
    </row>
    <row r="24" customFormat="false" ht="15.75" hidden="false" customHeight="true" outlineLevel="0" collapsed="false">
      <c r="A24" s="22" t="s">
        <v>65</v>
      </c>
      <c r="B24" s="27" t="n">
        <f aca="false">B21+B23*B22</f>
        <v>0.08725</v>
      </c>
      <c r="C24" s="24" t="s">
        <v>66</v>
      </c>
    </row>
    <row r="25" customFormat="false" ht="15" hidden="false" customHeight="true" outlineLevel="0" collapsed="false">
      <c r="A25" s="22" t="s">
        <v>67</v>
      </c>
      <c r="B25" s="23" t="n">
        <v>0.055</v>
      </c>
      <c r="C25" s="26" t="s">
        <v>68</v>
      </c>
    </row>
    <row r="26" customFormat="false" ht="13.5" hidden="false" customHeight="true" outlineLevel="0" collapsed="false">
      <c r="A26" s="22" t="s">
        <v>69</v>
      </c>
      <c r="B26" s="23" t="n">
        <v>0.05</v>
      </c>
      <c r="C26" s="24"/>
    </row>
    <row r="27" customFormat="false" ht="15" hidden="false" customHeight="true" outlineLevel="0" collapsed="false">
      <c r="A27" s="22" t="s">
        <v>70</v>
      </c>
      <c r="B27" s="23" t="n">
        <v>0.95</v>
      </c>
      <c r="C27" s="24" t="s">
        <v>71</v>
      </c>
    </row>
    <row r="28" customFormat="false" ht="16.5" hidden="false" customHeight="true" outlineLevel="0" collapsed="false">
      <c r="A28" s="22" t="s">
        <v>72</v>
      </c>
      <c r="B28" s="28" t="n">
        <f aca="false">B27*B24+B26*B25*(1-Assumptions!B17)</f>
        <v>0.085225</v>
      </c>
      <c r="C28" s="24"/>
    </row>
    <row r="29" customFormat="false" ht="12.75" hidden="false" customHeight="true" outlineLevel="0" collapsed="false">
      <c r="A29" s="29" t="s">
        <v>73</v>
      </c>
    </row>
    <row r="30" customFormat="false" ht="13.5" hidden="false" customHeight="true" outlineLevel="0" collapsed="false">
      <c r="A30" s="20" t="s">
        <v>74</v>
      </c>
      <c r="B30" s="21"/>
      <c r="C30" s="21"/>
    </row>
    <row r="31" customFormat="false" ht="15" hidden="false" customHeight="true" outlineLevel="0" collapsed="false">
      <c r="A31" s="22" t="s">
        <v>75</v>
      </c>
      <c r="B31" s="23" t="n">
        <v>0.045</v>
      </c>
      <c r="C31" s="24" t="s">
        <v>76</v>
      </c>
    </row>
    <row r="32" customFormat="false" ht="15.75" hidden="false" customHeight="true" outlineLevel="0" collapsed="false">
      <c r="A32" s="22" t="s">
        <v>77</v>
      </c>
      <c r="B32" s="23" t="n">
        <v>0.2</v>
      </c>
      <c r="C32" s="24" t="s">
        <v>78</v>
      </c>
    </row>
    <row r="34" customFormat="false" ht="13.5" hidden="false" customHeight="true" outlineLevel="0" collapsed="false">
      <c r="A34" s="20" t="s">
        <v>79</v>
      </c>
      <c r="B34" s="21"/>
      <c r="C34" s="21"/>
    </row>
    <row r="35" customFormat="false" ht="15.75" hidden="false" customHeight="true" outlineLevel="0" collapsed="false">
      <c r="A35" s="22" t="s">
        <v>80</v>
      </c>
      <c r="B35" s="30" t="n">
        <v>1270</v>
      </c>
      <c r="C35" s="24" t="s">
        <v>81</v>
      </c>
    </row>
    <row r="36" customFormat="false" ht="15" hidden="false" customHeight="true" outlineLevel="0" collapsed="false">
      <c r="A36" s="22" t="s">
        <v>82</v>
      </c>
      <c r="B36" s="30" t="n">
        <v>0</v>
      </c>
      <c r="C36" s="24" t="s">
        <v>83</v>
      </c>
    </row>
    <row r="37" customFormat="false" ht="15" hidden="false" customHeight="true" outlineLevel="0" collapsed="false">
      <c r="A37" s="22" t="s">
        <v>84</v>
      </c>
      <c r="B37" s="30" t="n">
        <v>5000</v>
      </c>
      <c r="C37" s="24" t="s">
        <v>85</v>
      </c>
    </row>
    <row r="38" customFormat="false" ht="15.75" hidden="false" customHeight="true" outlineLevel="0" collapsed="false">
      <c r="A38" s="22" t="s">
        <v>86</v>
      </c>
      <c r="B38" s="31" t="n">
        <f aca="false">B36-B37</f>
        <v>-5000</v>
      </c>
      <c r="C38" s="24" t="s">
        <v>87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1.8"/>
    <col collapsed="false" customWidth="true" hidden="false" outlineLevel="0" max="9" min="2" style="1" width="13.5"/>
  </cols>
  <sheetData>
    <row r="1" customFormat="false" ht="27.75" hidden="false" customHeight="true" outlineLevel="0" collapsed="false">
      <c r="A1" s="19" t="s">
        <v>88</v>
      </c>
      <c r="B1" s="19"/>
      <c r="C1" s="19"/>
      <c r="D1" s="19"/>
      <c r="E1" s="19"/>
      <c r="F1" s="19"/>
      <c r="G1" s="19"/>
      <c r="H1" s="19"/>
      <c r="I1" s="19"/>
    </row>
    <row r="2" customFormat="false" ht="18.7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97</v>
      </c>
      <c r="B3" s="21"/>
      <c r="C3" s="21"/>
      <c r="D3" s="21"/>
      <c r="E3" s="21"/>
      <c r="F3" s="21"/>
      <c r="G3" s="21"/>
      <c r="H3" s="21"/>
      <c r="I3" s="33" t="s">
        <v>98</v>
      </c>
    </row>
    <row r="4" customFormat="false" ht="16.5" hidden="false" customHeight="true" outlineLevel="0" collapsed="false">
      <c r="A4" s="34" t="s">
        <v>99</v>
      </c>
      <c r="B4" s="35" t="n">
        <v>5600</v>
      </c>
      <c r="C4" s="35" t="n">
        <v>7061</v>
      </c>
      <c r="D4" s="35" t="n">
        <v>8877</v>
      </c>
      <c r="E4" s="31" t="n">
        <f aca="false">D4*(1+Assumptions!$B$4)</f>
        <v>11273.79</v>
      </c>
      <c r="F4" s="31" t="n">
        <f aca="false">E4*(1+Assumptions!$B$5)</f>
        <v>13979.4996</v>
      </c>
      <c r="G4" s="31" t="n">
        <f aca="false">F4*(1+Assumptions!$B$6)</f>
        <v>16915.194516</v>
      </c>
      <c r="H4" s="31" t="n">
        <f aca="false">G4*(1+Assumptions!$B$7)</f>
        <v>19959.92952888</v>
      </c>
      <c r="I4" s="31" t="n">
        <f aca="false">H4*(1+Assumptions!$B$8)</f>
        <v>22953.918958212</v>
      </c>
    </row>
    <row r="5" customFormat="false" ht="13.5" hidden="false" customHeight="true" outlineLevel="0" collapsed="false">
      <c r="A5" s="36" t="s">
        <v>100</v>
      </c>
      <c r="B5" s="37" t="s">
        <v>101</v>
      </c>
      <c r="C5" s="38" t="n">
        <f aca="false">(C4-B4)/B4</f>
        <v>0.260892857142857</v>
      </c>
      <c r="D5" s="38" t="n">
        <f aca="false">(D4-C4)/C4</f>
        <v>0.257187367228438</v>
      </c>
      <c r="E5" s="39" t="n">
        <f aca="false">(E4-D4)/D4</f>
        <v>0.27</v>
      </c>
      <c r="F5" s="39" t="n">
        <f aca="false">(F4-E4)/E4</f>
        <v>0.24</v>
      </c>
      <c r="G5" s="39" t="n">
        <f aca="false">(G4-F4)/F4</f>
        <v>0.21</v>
      </c>
      <c r="H5" s="39" t="n">
        <f aca="false">(H4-G4)/G4</f>
        <v>0.18</v>
      </c>
      <c r="I5" s="39" t="n">
        <f aca="false">(I4-H4)/H4</f>
        <v>0.15</v>
      </c>
    </row>
    <row r="6" customFormat="false" ht="13.5" hidden="false" customHeight="true" outlineLevel="0" collapsed="false">
      <c r="A6" s="20" t="s">
        <v>102</v>
      </c>
      <c r="B6" s="21"/>
      <c r="C6" s="21"/>
      <c r="D6" s="21"/>
      <c r="E6" s="21"/>
      <c r="F6" s="21"/>
      <c r="G6" s="21"/>
      <c r="H6" s="21"/>
      <c r="I6" s="21"/>
    </row>
    <row r="7" customFormat="false" ht="15.75" hidden="false" customHeight="true" outlineLevel="0" collapsed="false">
      <c r="A7" s="40" t="s">
        <v>103</v>
      </c>
      <c r="B7" s="35" t="n">
        <v>2740</v>
      </c>
      <c r="C7" s="35" t="n">
        <v>3416</v>
      </c>
      <c r="D7" s="35" t="n">
        <v>4445</v>
      </c>
      <c r="E7" s="41" t="n">
        <f aca="false">E4*(1-Assumptions!$B$11)</f>
        <v>5185.9434</v>
      </c>
      <c r="F7" s="41" t="n">
        <f aca="false">F4*(1-Assumptions!$B$11)</f>
        <v>6430.569816</v>
      </c>
      <c r="G7" s="41" t="n">
        <f aca="false">G4*(1-Assumptions!$B$11)</f>
        <v>7780.98947736</v>
      </c>
      <c r="H7" s="41" t="n">
        <f aca="false">H4*(1-Assumptions!$B$11)</f>
        <v>9181.5675832848</v>
      </c>
      <c r="I7" s="41" t="n">
        <f aca="false">I4*(1-Assumptions!$B$11)</f>
        <v>10558.8027207775</v>
      </c>
    </row>
    <row r="8" customFormat="false" ht="16.5" hidden="false" customHeight="true" outlineLevel="0" collapsed="false">
      <c r="A8" s="34" t="s">
        <v>104</v>
      </c>
      <c r="B8" s="42" t="n">
        <f aca="false">B4-B7</f>
        <v>2860</v>
      </c>
      <c r="C8" s="42" t="n">
        <f aca="false">C4-C7</f>
        <v>3645</v>
      </c>
      <c r="D8" s="42" t="n">
        <f aca="false">D4-D7</f>
        <v>4432</v>
      </c>
      <c r="E8" s="42" t="n">
        <f aca="false">E4-E7</f>
        <v>6087.8466</v>
      </c>
      <c r="F8" s="42" t="n">
        <f aca="false">F4-F7</f>
        <v>7548.929784</v>
      </c>
      <c r="G8" s="42" t="n">
        <f aca="false">G4-G7</f>
        <v>9134.20503864</v>
      </c>
      <c r="H8" s="42" t="n">
        <f aca="false">H4-H7</f>
        <v>10778.3619455952</v>
      </c>
      <c r="I8" s="42" t="n">
        <f aca="false">I4-I7</f>
        <v>12395.1162374345</v>
      </c>
    </row>
    <row r="9" customFormat="false" ht="13.5" hidden="false" customHeight="true" outlineLevel="0" collapsed="false">
      <c r="A9" s="36" t="s">
        <v>105</v>
      </c>
      <c r="B9" s="38" t="n">
        <f aca="false">B8/B4</f>
        <v>0.510714285714286</v>
      </c>
      <c r="C9" s="38" t="n">
        <f aca="false">C8/C4</f>
        <v>0.516215833451353</v>
      </c>
      <c r="D9" s="38" t="n">
        <f aca="false">D8/D4</f>
        <v>0.499267770643235</v>
      </c>
      <c r="E9" s="39" t="n">
        <f aca="false">E8/E4</f>
        <v>0.54</v>
      </c>
      <c r="F9" s="39" t="n">
        <f aca="false">F8/F4</f>
        <v>0.54</v>
      </c>
      <c r="G9" s="39" t="n">
        <f aca="false">G8/G4</f>
        <v>0.54</v>
      </c>
      <c r="H9" s="39" t="n">
        <f aca="false">H8/H4</f>
        <v>0.54</v>
      </c>
      <c r="I9" s="39" t="n">
        <f aca="false">I8/I4</f>
        <v>0.54</v>
      </c>
    </row>
    <row r="10" customFormat="false" ht="13.5" hidden="false" customHeight="true" outlineLevel="0" collapsed="false">
      <c r="A10" s="20" t="s">
        <v>106</v>
      </c>
      <c r="B10" s="21"/>
      <c r="C10" s="21"/>
      <c r="D10" s="21"/>
      <c r="E10" s="21"/>
      <c r="F10" s="21"/>
      <c r="G10" s="21"/>
      <c r="H10" s="21"/>
      <c r="I10" s="21"/>
    </row>
    <row r="11" customFormat="false" ht="15" hidden="false" customHeight="true" outlineLevel="0" collapsed="false">
      <c r="A11" s="40" t="s">
        <v>107</v>
      </c>
      <c r="B11" s="35" t="n">
        <v>1382</v>
      </c>
      <c r="C11" s="35" t="n">
        <v>1776</v>
      </c>
      <c r="D11" s="35" t="n">
        <v>2068</v>
      </c>
      <c r="E11" s="41" t="n">
        <f aca="false">E4*Assumptions!$B$12</f>
        <v>1352.8548</v>
      </c>
      <c r="F11" s="41" t="n">
        <f aca="false">F4*Assumptions!$B$12</f>
        <v>1677.539952</v>
      </c>
      <c r="G11" s="41" t="n">
        <f aca="false">G4*Assumptions!$B$12</f>
        <v>2029.82334192</v>
      </c>
      <c r="H11" s="41" t="n">
        <f aca="false">H4*Assumptions!$B$12</f>
        <v>2395.1915434656</v>
      </c>
      <c r="I11" s="41" t="n">
        <f aca="false">I4*Assumptions!$B$12</f>
        <v>2754.47027498544</v>
      </c>
    </row>
    <row r="12" customFormat="false" ht="15.75" hidden="false" customHeight="true" outlineLevel="0" collapsed="false">
      <c r="A12" s="40" t="s">
        <v>108</v>
      </c>
      <c r="B12" s="35" t="n">
        <v>787</v>
      </c>
      <c r="C12" s="35" t="n">
        <v>952</v>
      </c>
      <c r="D12" s="35" t="n">
        <v>1149</v>
      </c>
      <c r="E12" s="41" t="n">
        <f aca="false">E4*Assumptions!$B$13</f>
        <v>901.9032</v>
      </c>
      <c r="F12" s="41" t="n">
        <f aca="false">F4*Assumptions!$B$13</f>
        <v>1118.359968</v>
      </c>
      <c r="G12" s="41" t="n">
        <f aca="false">G4*Assumptions!$B$13</f>
        <v>1353.21556128</v>
      </c>
      <c r="H12" s="41" t="n">
        <f aca="false">H4*Assumptions!$B$13</f>
        <v>1596.7943623104</v>
      </c>
      <c r="I12" s="41" t="n">
        <f aca="false">I4*Assumptions!$B$13</f>
        <v>1836.31351665696</v>
      </c>
    </row>
    <row r="13" customFormat="false" ht="15" hidden="false" customHeight="true" outlineLevel="0" collapsed="false">
      <c r="A13" s="40" t="s">
        <v>109</v>
      </c>
      <c r="B13" s="35" t="n">
        <v>430</v>
      </c>
      <c r="C13" s="35" t="n">
        <v>512</v>
      </c>
      <c r="D13" s="35" t="n">
        <v>592</v>
      </c>
      <c r="E13" s="41" t="n">
        <f aca="false">E4*Assumptions!$B$14</f>
        <v>620.05845</v>
      </c>
      <c r="F13" s="41" t="n">
        <f aca="false">F4*Assumptions!$B$14</f>
        <v>768.872478</v>
      </c>
      <c r="G13" s="41" t="n">
        <f aca="false">G4*Assumptions!$B$14</f>
        <v>930.33569838</v>
      </c>
      <c r="H13" s="41" t="n">
        <f aca="false">H4*Assumptions!$B$14</f>
        <v>1097.7961240884</v>
      </c>
      <c r="I13" s="41" t="n">
        <f aca="false">I4*Assumptions!$B$14</f>
        <v>1262.46554270166</v>
      </c>
    </row>
    <row r="14" customFormat="false" ht="15.75" hidden="false" customHeight="true" outlineLevel="0" collapsed="false">
      <c r="A14" s="34" t="s">
        <v>110</v>
      </c>
      <c r="B14" s="43" t="n">
        <f aca="false">SUM(B11:B13)</f>
        <v>2599</v>
      </c>
      <c r="C14" s="43" t="n">
        <f aca="false">SUM(C11:C13)</f>
        <v>3240</v>
      </c>
      <c r="D14" s="43" t="n">
        <f aca="false">SUM(D11:D13)</f>
        <v>3809</v>
      </c>
      <c r="E14" s="31" t="n">
        <f aca="false">SUM(E11:E13)</f>
        <v>2874.81645</v>
      </c>
      <c r="F14" s="31" t="n">
        <f aca="false">SUM(F11:F13)</f>
        <v>3564.772398</v>
      </c>
      <c r="G14" s="31" t="n">
        <f aca="false">SUM(G11:G13)</f>
        <v>4313.37460158</v>
      </c>
      <c r="H14" s="31" t="n">
        <f aca="false">SUM(H11:H13)</f>
        <v>5089.7820298644</v>
      </c>
      <c r="I14" s="31" t="n">
        <f aca="false">SUM(I11:I13)</f>
        <v>5853.24933434406</v>
      </c>
    </row>
    <row r="15" customFormat="false" ht="13.5" hidden="false" customHeight="true" outlineLevel="0" collapsed="false">
      <c r="A15" s="20" t="s">
        <v>111</v>
      </c>
      <c r="B15" s="21"/>
      <c r="C15" s="21"/>
      <c r="D15" s="21"/>
      <c r="E15" s="21"/>
      <c r="F15" s="21"/>
      <c r="G15" s="21"/>
      <c r="H15" s="21"/>
      <c r="I15" s="21"/>
    </row>
    <row r="16" customFormat="false" ht="16.5" hidden="false" customHeight="true" outlineLevel="0" collapsed="false">
      <c r="A16" s="34" t="s">
        <v>112</v>
      </c>
      <c r="B16" s="42" t="n">
        <f aca="false">B8-B14</f>
        <v>261</v>
      </c>
      <c r="C16" s="42" t="n">
        <f aca="false">C8-C14</f>
        <v>405</v>
      </c>
      <c r="D16" s="42" t="n">
        <f aca="false">D8-D14</f>
        <v>623</v>
      </c>
      <c r="E16" s="42" t="n">
        <f aca="false">E8-E14</f>
        <v>3213.03015</v>
      </c>
      <c r="F16" s="42" t="n">
        <f aca="false">F8-F14</f>
        <v>3984.157386</v>
      </c>
      <c r="G16" s="42" t="n">
        <f aca="false">G8-G14</f>
        <v>4820.83043706</v>
      </c>
      <c r="H16" s="42" t="n">
        <f aca="false">H8-H14</f>
        <v>5688.5799157308</v>
      </c>
      <c r="I16" s="42" t="n">
        <f aca="false">I8-I14</f>
        <v>6541.86690309042</v>
      </c>
    </row>
    <row r="17" customFormat="false" ht="13.5" hidden="false" customHeight="true" outlineLevel="0" collapsed="false">
      <c r="A17" s="36" t="s">
        <v>113</v>
      </c>
      <c r="B17" s="38" t="n">
        <f aca="false">IFERROR(B16/B4,0)</f>
        <v>0.0466071428571429</v>
      </c>
      <c r="C17" s="38" t="n">
        <f aca="false">IFERROR(C16/C4,0)</f>
        <v>0.0573573148279281</v>
      </c>
      <c r="D17" s="38" t="n">
        <f aca="false">IFERROR(D16/D4,0)</f>
        <v>0.0701813675791371</v>
      </c>
      <c r="E17" s="39" t="n">
        <f aca="false">IFERROR(E16/E4,0)</f>
        <v>0.285</v>
      </c>
      <c r="F17" s="39" t="n">
        <f aca="false">IFERROR(F16/F4,0)</f>
        <v>0.285</v>
      </c>
      <c r="G17" s="39" t="n">
        <f aca="false">IFERROR(G16/G4,0)</f>
        <v>0.285</v>
      </c>
      <c r="H17" s="39" t="n">
        <f aca="false">IFERROR(H16/H4,0)</f>
        <v>0.285</v>
      </c>
      <c r="I17" s="39" t="n">
        <f aca="false">IFERROR(I16/I4,0)</f>
        <v>0.285</v>
      </c>
    </row>
    <row r="18" customFormat="false" ht="13.5" hidden="false" customHeight="true" outlineLevel="0" collapsed="false">
      <c r="A18" s="20" t="s">
        <v>114</v>
      </c>
      <c r="B18" s="21"/>
      <c r="C18" s="21"/>
      <c r="D18" s="21"/>
      <c r="E18" s="21"/>
      <c r="F18" s="21"/>
      <c r="G18" s="21"/>
      <c r="H18" s="21"/>
      <c r="I18" s="21"/>
    </row>
    <row r="19" customFormat="false" ht="15" hidden="false" customHeight="true" outlineLevel="0" collapsed="false">
      <c r="A19" s="40" t="s">
        <v>115</v>
      </c>
      <c r="B19" s="35" t="n">
        <v>236</v>
      </c>
      <c r="C19" s="35" t="n">
        <v>297</v>
      </c>
      <c r="D19" s="35" t="n">
        <v>365</v>
      </c>
      <c r="E19" s="41" t="n">
        <f aca="false">E4*Assumptions!$B$15</f>
        <v>450.9516</v>
      </c>
      <c r="F19" s="41" t="n">
        <f aca="false">F4*Assumptions!$B$15</f>
        <v>559.179984</v>
      </c>
      <c r="G19" s="41" t="n">
        <f aca="false">G4*Assumptions!$B$15</f>
        <v>676.60778064</v>
      </c>
      <c r="H19" s="41" t="n">
        <f aca="false">H4*Assumptions!$B$15</f>
        <v>798.3971811552</v>
      </c>
      <c r="I19" s="41" t="n">
        <f aca="false">I4*Assumptions!$B$15</f>
        <v>918.15675832848</v>
      </c>
    </row>
    <row r="20" customFormat="false" ht="16.5" hidden="false" customHeight="true" outlineLevel="0" collapsed="false">
      <c r="A20" s="34" t="s">
        <v>116</v>
      </c>
      <c r="B20" s="42" t="n">
        <f aca="false">B16+B19</f>
        <v>497</v>
      </c>
      <c r="C20" s="42" t="n">
        <f aca="false">C16+C19</f>
        <v>702</v>
      </c>
      <c r="D20" s="42" t="n">
        <f aca="false">D16+D19</f>
        <v>988</v>
      </c>
      <c r="E20" s="42" t="n">
        <f aca="false">E16+E19</f>
        <v>3663.98175</v>
      </c>
      <c r="F20" s="42" t="n">
        <f aca="false">F16+F19</f>
        <v>4543.33737</v>
      </c>
      <c r="G20" s="42" t="n">
        <f aca="false">G16+G19</f>
        <v>5497.4382177</v>
      </c>
      <c r="H20" s="42" t="n">
        <f aca="false">H16+H19</f>
        <v>6486.977096886</v>
      </c>
      <c r="I20" s="42" t="n">
        <f aca="false">I16+I19</f>
        <v>7460.0236614189</v>
      </c>
    </row>
    <row r="21" customFormat="false" ht="13.5" hidden="false" customHeight="true" outlineLevel="0" collapsed="false">
      <c r="A21" s="36" t="s">
        <v>117</v>
      </c>
      <c r="B21" s="38" t="n">
        <f aca="false">IFERROR(B20/B4,0)</f>
        <v>0.08875</v>
      </c>
      <c r="C21" s="38" t="n">
        <f aca="false">IFERROR(C20/C4,0)</f>
        <v>0.099419345701742</v>
      </c>
      <c r="D21" s="38" t="n">
        <f aca="false">IFERROR(D20/D4,0)</f>
        <v>0.11129886222823</v>
      </c>
      <c r="E21" s="39" t="n">
        <f aca="false">IFERROR(E20/E4,0)</f>
        <v>0.325</v>
      </c>
      <c r="F21" s="39" t="n">
        <f aca="false">IFERROR(F20/F4,0)</f>
        <v>0.325</v>
      </c>
      <c r="G21" s="39" t="n">
        <f aca="false">IFERROR(G20/G4,0)</f>
        <v>0.325</v>
      </c>
      <c r="H21" s="39" t="n">
        <f aca="false">IFERROR(H20/H4,0)</f>
        <v>0.325</v>
      </c>
      <c r="I21" s="39" t="n">
        <f aca="false">IFERROR(I20/I4,0)</f>
        <v>0.325</v>
      </c>
    </row>
    <row r="22" customFormat="false" ht="13.5" hidden="false" customHeight="true" outlineLevel="0" collapsed="false">
      <c r="A22" s="20" t="s">
        <v>118</v>
      </c>
      <c r="B22" s="21"/>
      <c r="C22" s="21"/>
      <c r="D22" s="21"/>
      <c r="E22" s="21"/>
      <c r="F22" s="21"/>
      <c r="G22" s="21"/>
      <c r="H22" s="21"/>
      <c r="I22" s="21"/>
    </row>
    <row r="23" customFormat="false" ht="15" hidden="false" customHeight="true" outlineLevel="0" collapsed="false">
      <c r="A23" s="40" t="s">
        <v>119</v>
      </c>
      <c r="B23" s="35" t="n">
        <v>96</v>
      </c>
      <c r="C23" s="35" t="n">
        <v>170</v>
      </c>
      <c r="D23" s="35" t="n">
        <v>228</v>
      </c>
      <c r="E23" s="41" t="n">
        <f aca="false">MAX(E16*Assumptions!$B$17,0)</f>
        <v>481.9545225</v>
      </c>
      <c r="F23" s="41" t="n">
        <f aca="false">MAX(F16*Assumptions!$B$17,0)</f>
        <v>597.6236079</v>
      </c>
      <c r="G23" s="41" t="n">
        <f aca="false">MAX(G16*Assumptions!$B$17,0)</f>
        <v>723.124565559</v>
      </c>
      <c r="H23" s="41" t="n">
        <f aca="false">MAX(H16*Assumptions!$B$17,0)</f>
        <v>853.28698735962</v>
      </c>
      <c r="I23" s="41" t="n">
        <f aca="false">MAX(I16*Assumptions!$B$17,0)</f>
        <v>981.280035463563</v>
      </c>
    </row>
    <row r="24" customFormat="false" ht="16.5" hidden="false" customHeight="true" outlineLevel="0" collapsed="false">
      <c r="A24" s="34" t="s">
        <v>120</v>
      </c>
      <c r="B24" s="42" t="n">
        <f aca="false">B16-B23</f>
        <v>165</v>
      </c>
      <c r="C24" s="42" t="n">
        <f aca="false">C16-C23</f>
        <v>235</v>
      </c>
      <c r="D24" s="42" t="n">
        <f aca="false">D16-D23</f>
        <v>395</v>
      </c>
      <c r="E24" s="42" t="n">
        <f aca="false">E16-E23</f>
        <v>2731.0756275</v>
      </c>
      <c r="F24" s="42" t="n">
        <f aca="false">F16-F23</f>
        <v>3386.5337781</v>
      </c>
      <c r="G24" s="42" t="n">
        <f aca="false">G16-G23</f>
        <v>4097.705871501</v>
      </c>
      <c r="H24" s="42" t="n">
        <f aca="false">H16-H23</f>
        <v>4835.29292837118</v>
      </c>
      <c r="I24" s="42" t="n">
        <f aca="false">I16-I23</f>
        <v>5560.58686762686</v>
      </c>
    </row>
    <row r="25" customFormat="false" ht="13.5" hidden="false" customHeight="true" outlineLevel="0" collapsed="false">
      <c r="A25" s="36" t="s">
        <v>121</v>
      </c>
      <c r="B25" s="38" t="n">
        <f aca="false">IFERROR(B24/B4,0)</f>
        <v>0.0294642857142857</v>
      </c>
      <c r="C25" s="38" t="n">
        <f aca="false">IFERROR(C24/C4,0)</f>
        <v>0.0332814049001558</v>
      </c>
      <c r="D25" s="38" t="n">
        <f aca="false">IFERROR(D24/D4,0)</f>
        <v>0.0444970147572378</v>
      </c>
      <c r="E25" s="39" t="n">
        <f aca="false">IFERROR(E24/E4,0)</f>
        <v>0.24225</v>
      </c>
      <c r="F25" s="39" t="n">
        <f aca="false">IFERROR(F24/F4,0)</f>
        <v>0.24225</v>
      </c>
      <c r="G25" s="39" t="n">
        <f aca="false">IFERROR(G24/G4,0)</f>
        <v>0.24225</v>
      </c>
      <c r="H25" s="39" t="n">
        <f aca="false">IFERROR(H24/H4,0)</f>
        <v>0.24225</v>
      </c>
      <c r="I25" s="39" t="n">
        <f aca="false">IFERROR(I24/I4,0)</f>
        <v>0.24225</v>
      </c>
    </row>
    <row r="26" customFormat="false" ht="12.75" hidden="false" customHeight="true" outlineLevel="0" collapsed="false">
      <c r="A26" s="44" t="s">
        <v>122</v>
      </c>
      <c r="B26" s="44"/>
      <c r="C26" s="44"/>
      <c r="D26" s="44"/>
      <c r="E26" s="44"/>
      <c r="F26" s="44"/>
      <c r="G26" s="44"/>
      <c r="H26" s="44"/>
      <c r="I26" s="44"/>
    </row>
  </sheetData>
  <mergeCells count="2">
    <mergeCell ref="A1:I1"/>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5.3"/>
    <col collapsed="false" customWidth="true" hidden="false" outlineLevel="0" max="9" min="2" style="1" width="13.5"/>
  </cols>
  <sheetData>
    <row r="1" customFormat="false" ht="27.75" hidden="false" customHeight="true" outlineLevel="0" collapsed="false">
      <c r="A1" s="19" t="s">
        <v>123</v>
      </c>
      <c r="B1" s="19"/>
      <c r="C1" s="19"/>
      <c r="D1" s="19"/>
      <c r="E1" s="19"/>
      <c r="F1" s="19"/>
      <c r="G1" s="19"/>
      <c r="H1" s="19"/>
      <c r="I1" s="19"/>
    </row>
    <row r="2" customFormat="false" ht="16.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124</v>
      </c>
      <c r="B3" s="21"/>
      <c r="C3" s="21"/>
      <c r="D3" s="21"/>
      <c r="E3" s="21"/>
      <c r="F3" s="21"/>
      <c r="G3" s="21"/>
      <c r="H3" s="21"/>
      <c r="I3" s="21"/>
    </row>
    <row r="4" customFormat="false" ht="15.75" hidden="false" customHeight="true" outlineLevel="0" collapsed="false">
      <c r="A4" s="34" t="s">
        <v>120</v>
      </c>
      <c r="B4" s="45" t="n">
        <f aca="false">'Income Statement'!B24</f>
        <v>165</v>
      </c>
      <c r="C4" s="45" t="n">
        <f aca="false">'Income Statement'!C24</f>
        <v>235</v>
      </c>
      <c r="D4" s="45" t="n">
        <f aca="false">'Income Statement'!D24</f>
        <v>395</v>
      </c>
      <c r="E4" s="46" t="n">
        <f aca="false">'Income Statement'!E24</f>
        <v>2731.0756275</v>
      </c>
      <c r="F4" s="46" t="n">
        <f aca="false">'Income Statement'!F24</f>
        <v>3386.5337781</v>
      </c>
      <c r="G4" s="46" t="n">
        <f aca="false">'Income Statement'!G24</f>
        <v>4097.705871501</v>
      </c>
      <c r="H4" s="46" t="n">
        <f aca="false">'Income Statement'!H24</f>
        <v>4835.29292837118</v>
      </c>
      <c r="I4" s="46" t="n">
        <f aca="false">'Income Statement'!I24</f>
        <v>5560.58686762686</v>
      </c>
    </row>
    <row r="5" customFormat="false" ht="15" hidden="false" customHeight="true" outlineLevel="0" collapsed="false">
      <c r="A5" s="40" t="s">
        <v>125</v>
      </c>
      <c r="B5" s="47" t="n">
        <f aca="false">'Income Statement'!B19</f>
        <v>236</v>
      </c>
      <c r="C5" s="47" t="n">
        <f aca="false">'Income Statement'!C19</f>
        <v>297</v>
      </c>
      <c r="D5" s="47" t="n">
        <f aca="false">'Income Statement'!D19</f>
        <v>365</v>
      </c>
      <c r="E5" s="41" t="n">
        <f aca="false">'Income Statement'!E19</f>
        <v>450.9516</v>
      </c>
      <c r="F5" s="41" t="n">
        <f aca="false">'Income Statement'!F19</f>
        <v>559.179984</v>
      </c>
      <c r="G5" s="41" t="n">
        <f aca="false">'Income Statement'!G19</f>
        <v>676.60778064</v>
      </c>
      <c r="H5" s="41" t="n">
        <f aca="false">'Income Statement'!H19</f>
        <v>798.3971811552</v>
      </c>
      <c r="I5" s="41" t="n">
        <f aca="false">'Income Statement'!I19</f>
        <v>918.15675832848</v>
      </c>
    </row>
    <row r="6" customFormat="false" ht="15" hidden="false" customHeight="true" outlineLevel="0" collapsed="false">
      <c r="A6" s="40" t="s">
        <v>126</v>
      </c>
      <c r="B6" s="47" t="n">
        <f aca="false">-'Income Statement'!B4*Assumptions!$B$18</f>
        <v>-56</v>
      </c>
      <c r="C6" s="47" t="n">
        <f aca="false">-'Income Statement'!C4*Assumptions!$B$18</f>
        <v>-70.61</v>
      </c>
      <c r="D6" s="47" t="n">
        <f aca="false">-'Income Statement'!D4*Assumptions!$B$18</f>
        <v>-88.77</v>
      </c>
      <c r="E6" s="41" t="n">
        <f aca="false">-'Income Statement'!E4*Assumptions!$B$18</f>
        <v>-112.7379</v>
      </c>
      <c r="F6" s="41" t="n">
        <f aca="false">-'Income Statement'!F4*Assumptions!$B$18</f>
        <v>-139.794996</v>
      </c>
      <c r="G6" s="41" t="n">
        <f aca="false">-'Income Statement'!G4*Assumptions!$B$18</f>
        <v>-169.15194516</v>
      </c>
      <c r="H6" s="41" t="n">
        <f aca="false">-'Income Statement'!H4*Assumptions!$B$18</f>
        <v>-199.5992952888</v>
      </c>
      <c r="I6" s="41" t="n">
        <f aca="false">-'Income Statement'!I4*Assumptions!$B$18</f>
        <v>-229.53918958212</v>
      </c>
    </row>
    <row r="7" customFormat="false" ht="16.5" hidden="false" customHeight="true" outlineLevel="0" collapsed="false">
      <c r="A7" s="34" t="s">
        <v>127</v>
      </c>
      <c r="B7" s="42" t="n">
        <f aca="false">SUM(B4:B6)</f>
        <v>345</v>
      </c>
      <c r="C7" s="42" t="n">
        <f aca="false">SUM(C4:C6)</f>
        <v>461.39</v>
      </c>
      <c r="D7" s="42" t="n">
        <f aca="false">SUM(D4:D6)</f>
        <v>671.23</v>
      </c>
      <c r="E7" s="42" t="n">
        <f aca="false">SUM(E4:E6)</f>
        <v>3069.2893275</v>
      </c>
      <c r="F7" s="42" t="n">
        <f aca="false">SUM(F4:F6)</f>
        <v>3805.9187661</v>
      </c>
      <c r="G7" s="42" t="n">
        <f aca="false">SUM(G4:G6)</f>
        <v>4605.161706981</v>
      </c>
      <c r="H7" s="42" t="n">
        <f aca="false">SUM(H4:H6)</f>
        <v>5434.09081423758</v>
      </c>
      <c r="I7" s="42" t="n">
        <f aca="false">SUM(I4:I6)</f>
        <v>6249.20443637322</v>
      </c>
    </row>
    <row r="8" customFormat="false" ht="13.5" hidden="false" customHeight="true" outlineLevel="0" collapsed="false">
      <c r="A8" s="20" t="s">
        <v>128</v>
      </c>
      <c r="B8" s="21"/>
      <c r="C8" s="21"/>
      <c r="D8" s="21"/>
      <c r="E8" s="21"/>
      <c r="F8" s="21"/>
      <c r="G8" s="21"/>
      <c r="H8" s="21"/>
      <c r="I8" s="21"/>
    </row>
    <row r="9" customFormat="false" ht="15" hidden="false" customHeight="true" outlineLevel="0" collapsed="false">
      <c r="A9" s="40" t="s">
        <v>129</v>
      </c>
      <c r="B9" s="35" t="n">
        <v>-265</v>
      </c>
      <c r="C9" s="35" t="n">
        <v>-312</v>
      </c>
      <c r="D9" s="35" t="n">
        <v>-385</v>
      </c>
      <c r="E9" s="41" t="n">
        <f aca="false">-'Income Statement'!E4*Assumptions!$B$16</f>
        <v>-225.4758</v>
      </c>
      <c r="F9" s="41" t="n">
        <f aca="false">-'Income Statement'!F4*Assumptions!$B$16</f>
        <v>-279.589992</v>
      </c>
      <c r="G9" s="41" t="n">
        <f aca="false">-'Income Statement'!G4*Assumptions!$B$16</f>
        <v>-338.30389032</v>
      </c>
      <c r="H9" s="41" t="n">
        <f aca="false">-'Income Statement'!H4*Assumptions!$B$16</f>
        <v>-399.1985905776</v>
      </c>
      <c r="I9" s="41" t="n">
        <f aca="false">-'Income Statement'!I4*Assumptions!$B$16</f>
        <v>-459.07837916424</v>
      </c>
    </row>
    <row r="10" customFormat="false" ht="13.5" hidden="false" customHeight="true" outlineLevel="0" collapsed="false">
      <c r="A10" s="20" t="s">
        <v>130</v>
      </c>
      <c r="B10" s="21"/>
      <c r="C10" s="21"/>
      <c r="D10" s="21"/>
      <c r="E10" s="21"/>
      <c r="F10" s="21"/>
      <c r="G10" s="21"/>
      <c r="H10" s="21"/>
      <c r="I10" s="21"/>
    </row>
    <row r="11" customFormat="false" ht="16.5" hidden="false" customHeight="true" outlineLevel="0" collapsed="false">
      <c r="A11" s="34" t="s">
        <v>131</v>
      </c>
      <c r="B11" s="42" t="n">
        <f aca="false">B7+B9</f>
        <v>80</v>
      </c>
      <c r="C11" s="42" t="n">
        <f aca="false">C7+C9</f>
        <v>149.39</v>
      </c>
      <c r="D11" s="42" t="n">
        <f aca="false">D7+D9</f>
        <v>286.23</v>
      </c>
      <c r="E11" s="42" t="n">
        <f aca="false">E7+E9</f>
        <v>2843.8135275</v>
      </c>
      <c r="F11" s="42" t="n">
        <f aca="false">F7+F9</f>
        <v>3526.3287741</v>
      </c>
      <c r="G11" s="42" t="n">
        <f aca="false">G7+G9</f>
        <v>4266.857816661</v>
      </c>
      <c r="H11" s="42" t="n">
        <f aca="false">H7+H9</f>
        <v>5034.89222365998</v>
      </c>
      <c r="I11" s="42" t="n">
        <f aca="false">I7+I9</f>
        <v>5790.12605720898</v>
      </c>
    </row>
    <row r="12" customFormat="false" ht="13.5" hidden="false" customHeight="true" outlineLevel="0" collapsed="false">
      <c r="A12" s="36" t="s">
        <v>132</v>
      </c>
      <c r="B12" s="38" t="n">
        <f aca="false">IFERROR(B11/'Income Statement'!B4,0)</f>
        <v>0.0142857142857143</v>
      </c>
      <c r="C12" s="38" t="n">
        <f aca="false">IFERROR(C11/'Income Statement'!C4,0)</f>
        <v>0.0211570599065288</v>
      </c>
      <c r="D12" s="38" t="n">
        <f aca="false">IFERROR(D11/'Income Statement'!D4,0)</f>
        <v>0.032244001351808</v>
      </c>
      <c r="E12" s="39" t="n">
        <f aca="false">IFERROR(E11/'Income Statement'!E4,0)</f>
        <v>0.25225</v>
      </c>
      <c r="F12" s="39" t="n">
        <f aca="false">IFERROR(F11/'Income Statement'!F4,0)</f>
        <v>0.25225</v>
      </c>
      <c r="G12" s="39" t="n">
        <f aca="false">IFERROR(G11/'Income Statement'!G4,0)</f>
        <v>0.25225</v>
      </c>
      <c r="H12" s="39" t="n">
        <f aca="false">IFERROR(H11/'Income Statement'!H4,0)</f>
        <v>0.25225</v>
      </c>
      <c r="I12" s="39" t="n">
        <f aca="false">IFERROR(I11/'Income Statement'!I4,0)</f>
        <v>0.25225</v>
      </c>
    </row>
    <row r="13" customFormat="false" ht="12.75" hidden="false" customHeight="true" outlineLevel="0" collapsed="false">
      <c r="A13" s="44" t="s">
        <v>133</v>
      </c>
      <c r="B13" s="44"/>
      <c r="C13" s="44"/>
      <c r="D13" s="44"/>
      <c r="E13" s="44"/>
      <c r="F13" s="44"/>
      <c r="G13" s="44"/>
      <c r="H13" s="44"/>
    </row>
  </sheetData>
  <mergeCells count="2">
    <mergeCell ref="A1:I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3.52"/>
    <col collapsed="false" customWidth="true" hidden="false" outlineLevel="0" max="8" min="2" style="1" width="15"/>
  </cols>
  <sheetData>
    <row r="1" customFormat="false" ht="27.75" hidden="false" customHeight="true" outlineLevel="0" collapsed="false">
      <c r="A1" s="19" t="s">
        <v>134</v>
      </c>
      <c r="B1" s="19"/>
      <c r="C1" s="19"/>
      <c r="D1" s="19"/>
      <c r="E1" s="19"/>
      <c r="F1" s="19"/>
      <c r="G1" s="19"/>
    </row>
    <row r="2" customFormat="false" ht="16.5" hidden="false" customHeight="true" outlineLevel="0" collapsed="false">
      <c r="A2" s="20" t="s">
        <v>135</v>
      </c>
      <c r="B2" s="32" t="s">
        <v>92</v>
      </c>
      <c r="C2" s="32" t="s">
        <v>93</v>
      </c>
      <c r="D2" s="32" t="s">
        <v>94</v>
      </c>
      <c r="E2" s="32" t="s">
        <v>95</v>
      </c>
      <c r="F2" s="32" t="s">
        <v>96</v>
      </c>
      <c r="G2" s="21"/>
    </row>
    <row r="3" customFormat="false" ht="13.5" hidden="false" customHeight="true" outlineLevel="0" collapsed="false">
      <c r="A3" s="20" t="s">
        <v>136</v>
      </c>
      <c r="B3" s="21"/>
      <c r="C3" s="21"/>
      <c r="D3" s="21"/>
      <c r="E3" s="21"/>
      <c r="F3" s="21"/>
      <c r="G3" s="21"/>
    </row>
    <row r="4" customFormat="false" ht="15.75" hidden="false" customHeight="true" outlineLevel="0" collapsed="false">
      <c r="A4" s="34" t="s">
        <v>137</v>
      </c>
      <c r="B4" s="46" t="n">
        <f aca="false">'Cash Flow'!E11</f>
        <v>2843.8135275</v>
      </c>
      <c r="C4" s="46" t="n">
        <f aca="false">'Cash Flow'!F11</f>
        <v>3526.3287741</v>
      </c>
      <c r="D4" s="46" t="n">
        <f aca="false">'Cash Flow'!G11</f>
        <v>4266.857816661</v>
      </c>
      <c r="E4" s="46" t="n">
        <f aca="false">'Cash Flow'!H11</f>
        <v>5034.89222365998</v>
      </c>
      <c r="F4" s="46" t="n">
        <f aca="false">'Cash Flow'!I11</f>
        <v>5790.12605720898</v>
      </c>
    </row>
    <row r="5" customFormat="false" ht="13.5" hidden="false" customHeight="true" outlineLevel="0" collapsed="false">
      <c r="A5" s="40" t="s">
        <v>138</v>
      </c>
      <c r="B5" s="48" t="n">
        <v>1</v>
      </c>
      <c r="C5" s="48" t="n">
        <v>2</v>
      </c>
      <c r="D5" s="48" t="n">
        <v>3</v>
      </c>
      <c r="E5" s="48" t="n">
        <v>4</v>
      </c>
      <c r="F5" s="48" t="n">
        <v>5</v>
      </c>
    </row>
    <row r="6" customFormat="false" ht="13.5" hidden="false" customHeight="true" outlineLevel="0" collapsed="false">
      <c r="A6" s="40" t="s">
        <v>139</v>
      </c>
      <c r="B6" s="49" t="n">
        <f aca="false">1/(1+Assumptions!$B$28)^B5</f>
        <v>0.921467898362091</v>
      </c>
      <c r="C6" s="49" t="n">
        <f aca="false">1/(1+Assumptions!$B$28)^C5</f>
        <v>0.849103087711849</v>
      </c>
      <c r="D6" s="49" t="n">
        <f aca="false">1/(1+Assumptions!$B$28)^D5</f>
        <v>0.782421237726599</v>
      </c>
      <c r="E6" s="49" t="n">
        <f aca="false">1/(1+Assumptions!$B$28)^E5</f>
        <v>0.720976053561795</v>
      </c>
      <c r="F6" s="49" t="n">
        <f aca="false">1/(1+Assumptions!$B$28)^F5</f>
        <v>0.664356288844982</v>
      </c>
    </row>
    <row r="7" customFormat="false" ht="15.75" hidden="false" customHeight="true" outlineLevel="0" collapsed="false">
      <c r="A7" s="40" t="s">
        <v>140</v>
      </c>
      <c r="B7" s="41" t="n">
        <f aca="false">B4*B6</f>
        <v>2620.48287451911</v>
      </c>
      <c r="C7" s="41" t="n">
        <f aca="false">C4*C6</f>
        <v>2994.21665037545</v>
      </c>
      <c r="D7" s="41" t="n">
        <f aca="false">D4*D6</f>
        <v>3338.48017411532</v>
      </c>
      <c r="E7" s="41" t="n">
        <f aca="false">E4*E6</f>
        <v>3630.03672552335</v>
      </c>
      <c r="F7" s="41" t="n">
        <f aca="false">F4*F6</f>
        <v>3846.70665931198</v>
      </c>
    </row>
    <row r="8" customFormat="false" ht="12.75" hidden="false" customHeight="true" outlineLevel="0" collapsed="false">
      <c r="A8" s="50" t="s">
        <v>141</v>
      </c>
      <c r="B8" s="50"/>
      <c r="C8" s="50"/>
      <c r="D8" s="50"/>
      <c r="E8" s="50"/>
      <c r="F8" s="50"/>
      <c r="G8" s="50"/>
    </row>
    <row r="9" customFormat="false" ht="13.5" hidden="false" customHeight="true" outlineLevel="0" collapsed="false">
      <c r="A9" s="20" t="s">
        <v>142</v>
      </c>
      <c r="B9" s="21"/>
      <c r="C9" s="21"/>
      <c r="D9" s="21"/>
      <c r="E9" s="21"/>
      <c r="F9" s="21"/>
      <c r="G9" s="21"/>
    </row>
    <row r="10" customFormat="false" ht="16.5" hidden="false" customHeight="true" outlineLevel="0" collapsed="false">
      <c r="A10" s="34" t="s">
        <v>143</v>
      </c>
      <c r="B10" s="51" t="n">
        <f aca="false">SUM(B7:F7)</f>
        <v>16429.9230838452</v>
      </c>
      <c r="C10" s="51"/>
      <c r="D10" s="51"/>
      <c r="E10" s="51"/>
      <c r="F10" s="51"/>
    </row>
    <row r="11" customFormat="false" ht="16.5" hidden="false" customHeight="true" outlineLevel="0" collapsed="false">
      <c r="A11" s="34" t="s">
        <v>144</v>
      </c>
      <c r="B11" s="52" t="n">
        <f aca="false">F4*(1+Assumptions!$B$31)/(Assumptions!$B$28-Assumptions!$B$31)</f>
        <v>150420.925538431</v>
      </c>
    </row>
    <row r="12" customFormat="false" ht="15.75" hidden="false" customHeight="true" outlineLevel="0" collapsed="false">
      <c r="A12" s="34" t="s">
        <v>145</v>
      </c>
      <c r="B12" s="52" t="n">
        <f aca="false">B11/(1+Assumptions!$B$28)^5</f>
        <v>99933.0878553393</v>
      </c>
    </row>
    <row r="13" customFormat="false" ht="16.5" hidden="false" customHeight="true" outlineLevel="0" collapsed="false">
      <c r="A13" s="34" t="s">
        <v>146</v>
      </c>
      <c r="B13" s="53" t="n">
        <f aca="false">B10+B12</f>
        <v>116363.010939185</v>
      </c>
    </row>
    <row r="14" customFormat="false" ht="15" hidden="false" customHeight="true" outlineLevel="0" collapsed="false">
      <c r="A14" s="22" t="s">
        <v>147</v>
      </c>
      <c r="B14" s="41" t="n">
        <f aca="false">Assumptions!$B$38</f>
        <v>-5000</v>
      </c>
    </row>
    <row r="15" customFormat="false" ht="16.5" hidden="false" customHeight="true" outlineLevel="0" collapsed="false">
      <c r="A15" s="34" t="s">
        <v>148</v>
      </c>
      <c r="B15" s="53" t="n">
        <f aca="false">B13-B14</f>
        <v>121363.010939185</v>
      </c>
    </row>
    <row r="16" customFormat="false" ht="13.5" hidden="false" customHeight="true" outlineLevel="0" collapsed="false">
      <c r="A16" s="22" t="s">
        <v>80</v>
      </c>
      <c r="B16" s="41" t="n">
        <f aca="false">Assumptions!$B$35</f>
        <v>1270</v>
      </c>
    </row>
    <row r="17" customFormat="false" ht="15.75" hidden="false" customHeight="true" outlineLevel="0" collapsed="false">
      <c r="A17" s="34" t="s">
        <v>149</v>
      </c>
      <c r="B17" s="54" t="n">
        <f aca="false">B15/B16</f>
        <v>95.5614259363658</v>
      </c>
    </row>
    <row r="18" customFormat="false" ht="7.5" hidden="false" customHeight="true" outlineLevel="0" collapsed="false"/>
    <row r="19" customFormat="false" ht="13.5" hidden="false" customHeight="true" outlineLevel="0" collapsed="false">
      <c r="A19" s="55" t="s">
        <v>150</v>
      </c>
      <c r="B19" s="56" t="n">
        <f aca="false">B12/B13</f>
        <v>0.85880458960939</v>
      </c>
      <c r="C19" s="18" t="s">
        <v>151</v>
      </c>
      <c r="D19" s="18"/>
      <c r="E19" s="18"/>
      <c r="F19" s="18"/>
      <c r="G19" s="18"/>
    </row>
    <row r="20" customFormat="false" ht="16.5" hidden="false" customHeight="true" outlineLevel="0" collapsed="false">
      <c r="A20" s="20" t="s">
        <v>152</v>
      </c>
      <c r="B20" s="21"/>
      <c r="C20" s="21"/>
      <c r="D20" s="21"/>
      <c r="E20" s="21"/>
      <c r="F20" s="21"/>
      <c r="G20" s="21"/>
      <c r="H20" s="21"/>
      <c r="I20" s="21"/>
    </row>
    <row r="21" customFormat="false" ht="15.75" hidden="false" customHeight="true" outlineLevel="0" collapsed="false">
      <c r="A21" s="57" t="s">
        <v>153</v>
      </c>
      <c r="B21" s="58" t="n">
        <v>0.02</v>
      </c>
      <c r="C21" s="58" t="n">
        <v>0.025</v>
      </c>
      <c r="D21" s="58" t="n">
        <v>0.03</v>
      </c>
      <c r="E21" s="58" t="n">
        <v>0.035</v>
      </c>
      <c r="F21" s="58" t="n">
        <v>0.04</v>
      </c>
    </row>
    <row r="22" customFormat="false" ht="15" hidden="false" customHeight="true" outlineLevel="0" collapsed="false">
      <c r="A22" s="58" t="n">
        <v>0.08</v>
      </c>
      <c r="B22" s="59" t="n">
        <f aca="false">(SUMPRODUCT('DCF Output'!B4:F4,1/(1+0.08)^{1,2,3,4,5})+F4*(1+0.02)/(0.08-0.02)/(1+0.08)^5-Assumptions!$B$38)/Assumptions!$B$35</f>
        <v>69.8238658865343</v>
      </c>
      <c r="C22" s="59" t="n">
        <f aca="false">(SUMPRODUCT('DCF Output'!B4:F4,1/(1+0.08)^{1,2,3,4,5})+F4*(1+0.025)/(0.08-0.025)/(1+0.08)^5-Assumptions!$B$38)/Assumptions!$B$35</f>
        <v>74.9013122042427</v>
      </c>
      <c r="D22" s="59" t="n">
        <f aca="false">(SUMPRODUCT('DCF Output'!B4:F4,1/(1+0.08)^{1,2,3,4,5})+F4*(1+0.03)/(0.08-0.03)/(1+0.08)^5-Assumptions!$B$38)/Assumptions!$B$35</f>
        <v>80.9942477854929</v>
      </c>
      <c r="E22" s="59" t="n">
        <f aca="false">(SUMPRODUCT('DCF Output'!B4:F4,1/(1+0.08)^{1,2,3,4,5})+F4*(1+0.035)/(0.08-0.035)/(1+0.08)^5-Assumptions!$B$38)/Assumptions!$B$35</f>
        <v>88.4411690514653</v>
      </c>
      <c r="F22" s="59" t="n">
        <f aca="false">(SUMPRODUCT('DCF Output'!B4:F4,1/(1+0.08)^{1,2,3,4,5})+F4*(1+0.04)/(0.08-0.04)/(1+0.08)^5-Assumptions!$B$38)/Assumptions!$B$35</f>
        <v>97.7498206339307</v>
      </c>
    </row>
    <row r="23" customFormat="false" ht="15" hidden="false" customHeight="true" outlineLevel="0" collapsed="false">
      <c r="A23" s="58" t="n">
        <v>0.09</v>
      </c>
      <c r="B23" s="59" t="n">
        <f aca="false">(SUMPRODUCT('DCF Output'!B4:F4,1/(1+0.09)^{1,2,3,4,5})+F4*(1+0.02)/(0.09-0.02)/(1+0.09)^5-Assumptions!$B$38)/Assumptions!$B$35</f>
        <v>59.871532581666</v>
      </c>
      <c r="C23" s="59" t="n">
        <f aca="false">(SUMPRODUCT('DCF Output'!B4:F4,1/(1+0.09)^{1,2,3,4,5})+F4*(1+0.025)/(0.09-0.025)/(1+0.09)^5-Assumptions!$B$38)/Assumptions!$B$35</f>
        <v>63.420785220043</v>
      </c>
      <c r="D23" s="59" t="n">
        <f aca="false">(SUMPRODUCT('DCF Output'!B4:F4,1/(1+0.09)^{1,2,3,4,5})+F4*(1+0.03)/(0.09-0.03)/(1+0.09)^5-Assumptions!$B$38)/Assumptions!$B$35</f>
        <v>67.5615799648163</v>
      </c>
      <c r="E23" s="59" t="n">
        <f aca="false">(SUMPRODUCT('DCF Output'!B4:F4,1/(1+0.09)^{1,2,3,4,5})+F4*(1+0.035)/(0.09-0.035)/(1+0.09)^5-Assumptions!$B$38)/Assumptions!$B$35</f>
        <v>72.4552464813664</v>
      </c>
      <c r="F23" s="59" t="n">
        <f aca="false">(SUMPRODUCT('DCF Output'!B4:F4,1/(1+0.09)^{1,2,3,4,5})+F4*(1+0.04)/(0.09-0.04)/(1+0.09)^5-Assumptions!$B$38)/Assumptions!$B$35</f>
        <v>78.3276463012267</v>
      </c>
    </row>
    <row r="24" customFormat="false" ht="15" hidden="false" customHeight="true" outlineLevel="0" collapsed="false">
      <c r="A24" s="58" t="n">
        <v>0.1</v>
      </c>
      <c r="B24" s="59" t="n">
        <f aca="false">(SUMPRODUCT('DCF Output'!B4:F4,1/(1+0.1)^{1,2,3,4,5})+F4*(1+0.02)/(0.1-0.02)/(1+0.1)^5-Assumptions!$B$38)/Assumptions!$B$35</f>
        <v>52.4239637469703</v>
      </c>
      <c r="C24" s="59" t="n">
        <f aca="false">(SUMPRODUCT('DCF Output'!B4:F4,1/(1+0.1)^{1,2,3,4,5})+F4*(1+0.025)/(0.1-0.025)/(1+0.1)^5-Assumptions!$B$38)/Assumptions!$B$35</f>
        <v>55.018933566743</v>
      </c>
      <c r="D24" s="60" t="n">
        <f aca="false">(SUMPRODUCT('DCF Output'!B4:F4,1/(1+0.1)^{1,2,3,4,5})+F4*(1+0.03)/(0.1-0.03)/(1+0.1)^5-Assumptions!$B$38)/Assumptions!$B$35</f>
        <v>57.984613360769</v>
      </c>
      <c r="E24" s="59" t="n">
        <f aca="false">(SUMPRODUCT('DCF Output'!B4:F4,1/(1+0.1)^{1,2,3,4,5})+F4*(1+0.035)/(0.1-0.035)/(1+0.1)^5-Assumptions!$B$38)/Assumptions!$B$35</f>
        <v>61.4065515846451</v>
      </c>
      <c r="F24" s="59" t="n">
        <f aca="false">(SUMPRODUCT('DCF Output'!B4:F4,1/(1+0.1)^{1,2,3,4,5})+F4*(1+0.04)/(0.1-0.04)/(1+0.1)^5-Assumptions!$B$38)/Assumptions!$B$35</f>
        <v>65.3988128458339</v>
      </c>
    </row>
    <row r="25" customFormat="false" ht="15" hidden="false" customHeight="true" outlineLevel="0" collapsed="false">
      <c r="A25" s="58" t="n">
        <v>0.11</v>
      </c>
      <c r="B25" s="59" t="n">
        <f aca="false">(SUMPRODUCT('DCF Output'!B4:F4,1/(1+0.11)^{1,2,3,4,5})+F4*(1+0.02)/(0.11-0.02)/(1+0.11)^5-Assumptions!$B$38)/Assumptions!$B$35</f>
        <v>46.6455533918973</v>
      </c>
      <c r="C25" s="59" t="n">
        <f aca="false">(SUMPRODUCT('DCF Output'!B4:F4,1/(1+0.11)^{1,2,3,4,5})+F4*(1+0.025)/(0.11-0.025)/(1+0.11)^5-Assumptions!$B$38)/Assumptions!$B$35</f>
        <v>48.6084659430205</v>
      </c>
      <c r="D25" s="59" t="n">
        <f aca="false">(SUMPRODUCT('DCF Output'!B4:F4,1/(1+0.11)^{1,2,3,4,5})+F4*(1+0.03)/(0.11-0.03)/(1+0.11)^5-Assumptions!$B$38)/Assumptions!$B$35</f>
        <v>50.8167425630342</v>
      </c>
      <c r="E25" s="59" t="n">
        <f aca="false">(SUMPRODUCT('DCF Output'!B4:F4,1/(1+0.11)^{1,2,3,4,5})+F4*(1+0.035)/(0.11-0.035)/(1+0.11)^5-Assumptions!$B$38)/Assumptions!$B$35</f>
        <v>53.3194560657164</v>
      </c>
      <c r="F25" s="59" t="n">
        <f aca="false">(SUMPRODUCT('DCF Output'!B4:F4,1/(1+0.11)^{1,2,3,4,5})+F4*(1+0.04)/(0.11-0.04)/(1+0.11)^5-Assumptions!$B$38)/Assumptions!$B$35</f>
        <v>56.1797000687817</v>
      </c>
    </row>
    <row r="26" customFormat="false" ht="15" hidden="false" customHeight="true" outlineLevel="0" collapsed="false">
      <c r="A26" s="58" t="n">
        <v>0.12</v>
      </c>
      <c r="B26" s="59" t="n">
        <f aca="false">(SUMPRODUCT('DCF Output'!B4:F4,1/(1+0.12)^{1,2,3,4,5})+F4*(1+0.02)/(0.12-0.02)/(1+0.12)^5-Assumptions!$B$38)/Assumptions!$B$35</f>
        <v>42.0349723866157</v>
      </c>
      <c r="C26" s="59" t="n">
        <f aca="false">(SUMPRODUCT('DCF Output'!B4:F4,1/(1+0.12)^{1,2,3,4,5})+F4*(1+0.025)/(0.12-0.025)/(1+0.12)^5-Assumptions!$B$38)/Assumptions!$B$35</f>
        <v>43.5599329276846</v>
      </c>
      <c r="D26" s="59" t="n">
        <f aca="false">(SUMPRODUCT('DCF Output'!B4:F4,1/(1+0.12)^{1,2,3,4,5})+F4*(1+0.03)/(0.12-0.03)/(1+0.12)^5-Assumptions!$B$38)/Assumptions!$B$35</f>
        <v>45.2543335288722</v>
      </c>
      <c r="E26" s="59" t="n">
        <f aca="false">(SUMPRODUCT('DCF Output'!B4:F4,1/(1+0.12)^{1,2,3,4,5})+F4*(1+0.035)/(0.12-0.035)/(1+0.12)^5-Assumptions!$B$38)/Assumptions!$B$35</f>
        <v>47.1480753772584</v>
      </c>
      <c r="F26" s="59" t="n">
        <f aca="false">(SUMPRODUCT('DCF Output'!B4:F4,1/(1+0.12)^{1,2,3,4,5})+F4*(1+0.04)/(0.12-0.04)/(1+0.12)^5-Assumptions!$B$38)/Assumptions!$B$35</f>
        <v>49.2785349566929</v>
      </c>
    </row>
    <row r="27" customFormat="false" ht="7.5" hidden="false" customHeight="true" outlineLevel="0" collapsed="false"/>
    <row r="28" customFormat="false" ht="12.75" hidden="false" customHeight="true" outlineLevel="0" collapsed="false">
      <c r="A28" s="44" t="s">
        <v>154</v>
      </c>
      <c r="B28" s="44"/>
      <c r="C28" s="44"/>
      <c r="D28" s="44"/>
      <c r="E28" s="44"/>
      <c r="F28" s="44"/>
      <c r="G28" s="44"/>
      <c r="H28" s="44"/>
    </row>
  </sheetData>
  <mergeCells count="5">
    <mergeCell ref="A1:G1"/>
    <mergeCell ref="A8:G8"/>
    <mergeCell ref="B10:F10"/>
    <mergeCell ref="C19:G19"/>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2026-06-20T19:06:30Z</dcterms:created>
  <dc:creator>openpyxl</dc:creator>
  <dc:description/>
  <dc:language>en-US</dc:language>
  <cp:lastModifiedBy/>
  <dcterms:modified xsi:type="dcterms:W3CDTF">2026-06-20T20:14:31Z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